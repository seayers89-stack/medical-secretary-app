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Tracker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<sst xmlns="http://schemas.openxmlformats.org/spreadsheetml/2006/main" count="41" uniqueCount="39">
  <si>
    <t xml:space="preserve">VEYN — BUSINESS HUB TEMPLATE</t>
  </si>
  <si>
    <t xml:space="preserve">Dictation-to-Letter Tracker</t>
  </si>
  <si>
    <t xml:space="preserve">Tracks each letter from the moment it's dictated through to being sent — useful where your PMS doesn't give a clear turnaround view, or where letters move between more than one person (typed by you, proofed by someone else) before they go out.</t>
  </si>
  <si>
    <t xml:space="preserve">Status and turnaround time calculate themselves from whichever dates you've filled in — you don't need to set status manually.</t>
  </si>
  <si>
    <t xml:space="preserve">HOW TO READ THIS WORKBOOK</t>
  </si>
  <si>
    <t xml:space="preserve">Colour</t>
  </si>
  <si>
    <t xml:space="preserve">Meaning</t>
  </si>
  <si>
    <t xml:space="preserve">Blue text</t>
  </si>
  <si>
    <t xml:space="preserve">Type into this cell — it won't overwrite a formula</t>
  </si>
  <si>
    <t xml:space="preserve">Black text</t>
  </si>
  <si>
    <t xml:space="preserve">Calculated automatically — leave alone</t>
  </si>
  <si>
    <t xml:space="preserve">Gold row</t>
  </si>
  <si>
    <t xml:space="preserve">In progress — dictated but not yet sent</t>
  </si>
  <si>
    <t xml:space="preserve">Green row</t>
  </si>
  <si>
    <t xml:space="preserve">Sent</t>
  </si>
  <si>
    <t xml:space="preserve">This template is general guidance, not financial, tax or legal advice — check figures relevant to your own situation.</t>
  </si>
  <si>
    <t xml:space="preserve">Privacy note: use patient initials or an internal reference number in these trackers, never full identifying details, in line with GDPR good practice.</t>
  </si>
  <si>
    <t xml:space="preserve">One row per letter</t>
  </si>
  <si>
    <t xml:space="preserve">Date Dictated</t>
  </si>
  <si>
    <t xml:space="preserve">Consultant</t>
  </si>
  <si>
    <t xml:space="preserve">Patient Ref</t>
  </si>
  <si>
    <t xml:space="preserve">Letter Type</t>
  </si>
  <si>
    <t xml:space="preserve">Typed Date</t>
  </si>
  <si>
    <t xml:space="preserve">Proofed By</t>
  </si>
  <si>
    <t xml:space="preserve">Approved Date</t>
  </si>
  <si>
    <t xml:space="preserve">Sent Date</t>
  </si>
  <si>
    <t xml:space="preserve">Recipient(s)</t>
  </si>
  <si>
    <t xml:space="preserve">Turnaround (Days)</t>
  </si>
  <si>
    <t xml:space="preserve">Status</t>
  </si>
  <si>
    <t xml:space="preserve">Notes</t>
  </si>
  <si>
    <t xml:space="preserve">Summary</t>
  </si>
  <si>
    <t xml:space="preserve">Updates automatically from the Tracker tab</t>
  </si>
  <si>
    <t xml:space="preserve">Volume &amp; Status</t>
  </si>
  <si>
    <t xml:space="preserve">Letters Logged</t>
  </si>
  <si>
    <t xml:space="preserve">Dictated (not yet typed)</t>
  </si>
  <si>
    <t xml:space="preserve">Typed</t>
  </si>
  <si>
    <t xml:space="preserve">Proofed</t>
  </si>
  <si>
    <t xml:space="preserve">Approved</t>
  </si>
  <si>
    <t xml:space="preserve">Average Turnaround (Days, Sent Only)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</si>
</sst>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B8924A"/>
      <name val="Consolas"/>
      <family val="0"/>
      <charset val="1"/>
    </font>
    <font>
      <b val="true"/>
      <sz val="20"/>
      <color rgb="FF1B2430"/>
      <name val="Cambria"/>
      <family val="0"/>
      <charset val="1"/>
    </font>
    <font>
      <sz val="11"/>
      <color rgb="FF5C6470"/>
      <name val="Calibri"/>
      <family val="0"/>
      <charset val="1"/>
    </font>
    <font>
      <b val="true"/>
      <sz val="10"/>
      <color rgb="FF1B2430"/>
      <name val="Calibri"/>
      <family val="0"/>
      <charset val="1"/>
    </font>
    <font>
      <sz val="10"/>
      <color rgb="FF5C6470"/>
      <name val="Calibri"/>
      <family val="0"/>
      <charset val="1"/>
    </font>
    <font>
      <i val="true"/>
      <sz val="9"/>
      <color rgb="FF5C6470"/>
      <name val="Calibri"/>
      <family val="0"/>
      <charset val="1"/>
    </font>
    <font>
      <b val="true"/>
      <sz val="15"/>
      <color rgb="FF1B2430"/>
      <name val="Cambria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1F3B8C"/>
      <name val="Calibri"/>
      <family val="0"/>
      <charset val="1"/>
    </font>
    <font>
      <sz val="10"/>
      <color rgb="FF1B2430"/>
      <name val="Calibri"/>
      <family val="0"/>
      <charset val="1"/>
    </font>
    <font>
      <b val="true"/>
      <sz val="11"/>
      <color rgb="FF1B243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1E4C8"/>
        <bgColor rgb="FFDCE8DF"/>
      </patternFill>
    </fill>
    <fill>
      <patternFill patternType="solid">
        <fgColor rgb="FFFFFFFF"/>
        <bgColor rgb="FFCCFFFF"/>
      </patternFill>
    </fill>
    <fill>
      <patternFill patternType="solid">
        <fgColor rgb="FFDCE8DF"/>
        <bgColor rgb="FFF1E4C8"/>
      </patternFill>
    </fill>
    <fill>
      <patternFill patternType="solid">
        <fgColor rgb="FF1B2430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3C6"/>
      </left>
      <right style="thin">
        <color rgb="FFD8D3C6"/>
      </right>
      <top style="thin">
        <color rgb="FFD8D3C6"/>
      </top>
      <bottom style="thin">
        <color rgb="FFD8D3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DCE8DF"/>
        </patternFill>
      </fill>
    </dxf>
    <dxf>
      <fill>
        <patternFill>
          <bgColor rgb="FFF1E4C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D3C6"/>
      <rgbColor rgb="FF808080"/>
      <rgbColor rgb="FF9999FF"/>
      <rgbColor rgb="FF993366"/>
      <rgbColor rgb="FFF1E4C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CE8DF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C6470"/>
      <rgbColor rgb="FFB8924A"/>
      <rgbColor rgb="FF003366"/>
      <rgbColor rgb="FF339966"/>
      <rgbColor rgb="FF003300"/>
      <rgbColor rgb="FF333300"/>
      <rgbColor rgb="FF993300"/>
      <rgbColor rgb="FF993366"/>
      <rgbColor rgb="FF1F3B8C"/>
      <rgbColor rgb="FF1B24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430"/>
    <pageSetUpPr fitToPage="false"/>
  </sheetPr>
  <dimension ref="B2:C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62"/>
  </cols>
  <sheetData>
    <row r="2" customFormat="false" ht="15" hidden="false" customHeight="false" outlineLevel="0" collapsed="false">
      <c r="B2" s="1" t="s">
        <v>0</v>
      </c>
    </row>
    <row r="3" customFormat="false" ht="30" hidden="false" customHeight="true" outlineLevel="0" collapsed="false">
      <c r="B3" s="2" t="s">
        <v>1</v>
      </c>
    </row>
    <row r="5" customFormat="false" ht="30" hidden="false" customHeight="true" outlineLevel="0" collapsed="false">
      <c r="B5" s="3" t="s">
        <v>2</v>
      </c>
      <c r="C5" s="3"/>
    </row>
    <row r="6" customFormat="false" ht="30" hidden="false" customHeight="true" outlineLevel="0" collapsed="false">
      <c r="B6" s="3" t="s">
        <v>3</v>
      </c>
      <c r="C6" s="3"/>
    </row>
    <row r="8" customFormat="false" ht="15" hidden="false" customHeight="false" outlineLevel="0" collapsed="false">
      <c r="B8" s="1" t="s">
        <v>4</v>
      </c>
    </row>
    <row r="9" customFormat="false" ht="15" hidden="false" customHeight="false" outlineLevel="0" collapsed="false">
      <c r="B9" s="4" t="s">
        <v>5</v>
      </c>
      <c r="C9" s="4" t="s">
        <v>6</v>
      </c>
    </row>
    <row r="10" customFormat="false" ht="21.75" hidden="false" customHeight="true" outlineLevel="0" collapsed="false">
      <c r="B10" s="5" t="s">
        <v>7</v>
      </c>
      <c r="C10" s="6" t="s">
        <v>8</v>
      </c>
    </row>
    <row r="11" customFormat="false" ht="21.75" hidden="false" customHeight="true" outlineLevel="0" collapsed="false">
      <c r="B11" s="7" t="s">
        <v>9</v>
      </c>
      <c r="C11" s="6" t="s">
        <v>10</v>
      </c>
    </row>
    <row r="12" customFormat="false" ht="21.75" hidden="false" customHeight="true" outlineLevel="0" collapsed="false">
      <c r="B12" s="5" t="s">
        <v>11</v>
      </c>
      <c r="C12" s="6" t="s">
        <v>12</v>
      </c>
    </row>
    <row r="13" customFormat="false" ht="21.75" hidden="false" customHeight="true" outlineLevel="0" collapsed="false">
      <c r="B13" s="8" t="s">
        <v>13</v>
      </c>
      <c r="C13" s="6" t="s">
        <v>14</v>
      </c>
    </row>
    <row r="15" customFormat="false" ht="25.5" hidden="false" customHeight="true" outlineLevel="0" collapsed="false">
      <c r="B15" s="9" t="s">
        <v>15</v>
      </c>
      <c r="C15" s="9"/>
    </row>
    <row r="17" customFormat="false" ht="25.5" hidden="false" customHeight="true" outlineLevel="0" collapsed="false">
      <c r="B17" s="9" t="s">
        <v>16</v>
      </c>
      <c r="C17" s="9"/>
    </row>
  </sheetData>
  <mergeCells count="4">
    <mergeCell ref="B5:C5"/>
    <mergeCell ref="B6:C6"/>
    <mergeCell ref="B15:C15"/>
    <mergeCell ref="B17:C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5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8"/>
    <col collapsed="false" customWidth="true" hidden="false" outlineLevel="0" max="11" min="10" style="0" width="14"/>
    <col collapsed="false" customWidth="true" hidden="false" outlineLevel="0" max="12" min="12" style="0" width="24"/>
  </cols>
  <sheetData>
    <row r="1" customFormat="false" ht="24" hidden="false" customHeight="true" outlineLevel="0" collapsed="false">
      <c r="A1" s="10" t="s">
        <v>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customFormat="false" ht="15.75" hidden="false" customHeight="true" outlineLevel="0" collapsed="false">
      <c r="A2" s="9" t="s">
        <v>17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4" customFormat="false" ht="31.5" hidden="false" customHeight="true" outlineLevel="0" collapsed="false">
      <c r="A4" s="11" t="s">
        <v>18</v>
      </c>
      <c r="B4" s="11" t="s">
        <v>19</v>
      </c>
      <c r="C4" s="11" t="s">
        <v>20</v>
      </c>
      <c r="D4" s="11" t="s">
        <v>21</v>
      </c>
      <c r="E4" s="11" t="s">
        <v>22</v>
      </c>
      <c r="F4" s="11" t="s">
        <v>23</v>
      </c>
      <c r="G4" s="11" t="s">
        <v>24</v>
      </c>
      <c r="H4" s="11" t="s">
        <v>25</v>
      </c>
      <c r="I4" s="11" t="s">
        <v>26</v>
      </c>
      <c r="J4" s="11" t="s">
        <v>27</v>
      </c>
      <c r="K4" s="11" t="s">
        <v>28</v>
      </c>
      <c r="L4" s="11" t="s">
        <v>29</v>
      </c>
    </row>
    <row r="5" customFormat="false" ht="15" hidden="false" customHeight="false" outlineLevel="0" collapsed="false">
      <c r="A5" s="12"/>
      <c r="B5" s="13"/>
      <c r="C5" s="13"/>
      <c r="D5" s="13"/>
      <c r="E5" s="12"/>
      <c r="F5" s="13"/>
      <c r="G5" s="12"/>
      <c r="H5" s="12"/>
      <c r="I5" s="13"/>
      <c r="J5" s="14" t="str">
        <f aca="false">IF(OR(A5="",H5=""),"",H5-A5)</f>
        <v/>
      </c>
      <c r="K5" s="14" t="str">
        <f aca="false">IF(A5="","",IF(H5&lt;&gt;"","Sent",IF(G5&lt;&gt;"","Approved",IF(F5&lt;&gt;"","Proofed",IF(E5&lt;&gt;"","Typed","Dictated")))))</f>
        <v/>
      </c>
      <c r="L5" s="13"/>
    </row>
    <row r="6" customFormat="false" ht="15" hidden="false" customHeight="false" outlineLevel="0" collapsed="false">
      <c r="A6" s="12"/>
      <c r="B6" s="13"/>
      <c r="C6" s="13"/>
      <c r="D6" s="13"/>
      <c r="E6" s="12"/>
      <c r="F6" s="13"/>
      <c r="G6" s="12"/>
      <c r="H6" s="12"/>
      <c r="I6" s="13"/>
      <c r="J6" s="14" t="str">
        <f aca="false">IF(OR(A6="",H6=""),"",H6-A6)</f>
        <v/>
      </c>
      <c r="K6" s="14" t="str">
        <f aca="false">IF(A6="","",IF(H6&lt;&gt;"","Sent",IF(G6&lt;&gt;"","Approved",IF(F6&lt;&gt;"","Proofed",IF(E6&lt;&gt;"","Typed","Dictated")))))</f>
        <v/>
      </c>
      <c r="L6" s="13"/>
    </row>
    <row r="7" customFormat="false" ht="15" hidden="false" customHeight="false" outlineLevel="0" collapsed="false">
      <c r="A7" s="12"/>
      <c r="B7" s="13"/>
      <c r="C7" s="13"/>
      <c r="D7" s="13"/>
      <c r="E7" s="12"/>
      <c r="F7" s="13"/>
      <c r="G7" s="12"/>
      <c r="H7" s="12"/>
      <c r="I7" s="13"/>
      <c r="J7" s="14" t="str">
        <f aca="false">IF(OR(A7="",H7=""),"",H7-A7)</f>
        <v/>
      </c>
      <c r="K7" s="14" t="str">
        <f aca="false">IF(A7="","",IF(H7&lt;&gt;"","Sent",IF(G7&lt;&gt;"","Approved",IF(F7&lt;&gt;"","Proofed",IF(E7&lt;&gt;"","Typed","Dictated")))))</f>
        <v/>
      </c>
      <c r="L7" s="13"/>
    </row>
    <row r="8" customFormat="false" ht="15" hidden="false" customHeight="false" outlineLevel="0" collapsed="false">
      <c r="A8" s="12"/>
      <c r="B8" s="13"/>
      <c r="C8" s="13"/>
      <c r="D8" s="13"/>
      <c r="E8" s="12"/>
      <c r="F8" s="13"/>
      <c r="G8" s="12"/>
      <c r="H8" s="12"/>
      <c r="I8" s="13"/>
      <c r="J8" s="14" t="str">
        <f aca="false">IF(OR(A8="",H8=""),"",H8-A8)</f>
        <v/>
      </c>
      <c r="K8" s="14" t="str">
        <f aca="false">IF(A8="","",IF(H8&lt;&gt;"","Sent",IF(G8&lt;&gt;"","Approved",IF(F8&lt;&gt;"","Proofed",IF(E8&lt;&gt;"","Typed","Dictated")))))</f>
        <v/>
      </c>
      <c r="L8" s="13"/>
    </row>
    <row r="9" customFormat="false" ht="15" hidden="false" customHeight="false" outlineLevel="0" collapsed="false">
      <c r="A9" s="12"/>
      <c r="B9" s="13"/>
      <c r="C9" s="13"/>
      <c r="D9" s="13"/>
      <c r="E9" s="12"/>
      <c r="F9" s="13"/>
      <c r="G9" s="12"/>
      <c r="H9" s="12"/>
      <c r="I9" s="13"/>
      <c r="J9" s="14" t="str">
        <f aca="false">IF(OR(A9="",H9=""),"",H9-A9)</f>
        <v/>
      </c>
      <c r="K9" s="14" t="str">
        <f aca="false">IF(A9="","",IF(H9&lt;&gt;"","Sent",IF(G9&lt;&gt;"","Approved",IF(F9&lt;&gt;"","Proofed",IF(E9&lt;&gt;"","Typed","Dictated")))))</f>
        <v/>
      </c>
      <c r="L9" s="13"/>
    </row>
    <row r="10" customFormat="false" ht="15" hidden="false" customHeight="false" outlineLevel="0" collapsed="false">
      <c r="A10" s="12"/>
      <c r="B10" s="13"/>
      <c r="C10" s="13"/>
      <c r="D10" s="13"/>
      <c r="E10" s="12"/>
      <c r="F10" s="13"/>
      <c r="G10" s="12"/>
      <c r="H10" s="12"/>
      <c r="I10" s="13"/>
      <c r="J10" s="14" t="str">
        <f aca="false">IF(OR(A10="",H10=""),"",H10-A10)</f>
        <v/>
      </c>
      <c r="K10" s="14" t="str">
        <f aca="false">IF(A10="","",IF(H10&lt;&gt;"","Sent",IF(G10&lt;&gt;"","Approved",IF(F10&lt;&gt;"","Proofed",IF(E10&lt;&gt;"","Typed","Dictated")))))</f>
        <v/>
      </c>
      <c r="L10" s="13"/>
    </row>
    <row r="11" customFormat="false" ht="15" hidden="false" customHeight="false" outlineLevel="0" collapsed="false">
      <c r="A11" s="12"/>
      <c r="B11" s="13"/>
      <c r="C11" s="13"/>
      <c r="D11" s="13"/>
      <c r="E11" s="12"/>
      <c r="F11" s="13"/>
      <c r="G11" s="12"/>
      <c r="H11" s="12"/>
      <c r="I11" s="13"/>
      <c r="J11" s="14" t="str">
        <f aca="false">IF(OR(A11="",H11=""),"",H11-A11)</f>
        <v/>
      </c>
      <c r="K11" s="14" t="str">
        <f aca="false">IF(A11="","",IF(H11&lt;&gt;"","Sent",IF(G11&lt;&gt;"","Approved",IF(F11&lt;&gt;"","Proofed",IF(E11&lt;&gt;"","Typed","Dictated")))))</f>
        <v/>
      </c>
      <c r="L11" s="13"/>
    </row>
    <row r="12" customFormat="false" ht="15" hidden="false" customHeight="false" outlineLevel="0" collapsed="false">
      <c r="A12" s="12"/>
      <c r="B12" s="13"/>
      <c r="C12" s="13"/>
      <c r="D12" s="13"/>
      <c r="E12" s="12"/>
      <c r="F12" s="13"/>
      <c r="G12" s="12"/>
      <c r="H12" s="12"/>
      <c r="I12" s="13"/>
      <c r="J12" s="14" t="str">
        <f aca="false">IF(OR(A12="",H12=""),"",H12-A12)</f>
        <v/>
      </c>
      <c r="K12" s="14" t="str">
        <f aca="false">IF(A12="","",IF(H12&lt;&gt;"","Sent",IF(G12&lt;&gt;"","Approved",IF(F12&lt;&gt;"","Proofed",IF(E12&lt;&gt;"","Typed","Dictated")))))</f>
        <v/>
      </c>
      <c r="L12" s="13"/>
    </row>
    <row r="13" customFormat="false" ht="15" hidden="false" customHeight="false" outlineLevel="0" collapsed="false">
      <c r="A13" s="12"/>
      <c r="B13" s="13"/>
      <c r="C13" s="13"/>
      <c r="D13" s="13"/>
      <c r="E13" s="12"/>
      <c r="F13" s="13"/>
      <c r="G13" s="12"/>
      <c r="H13" s="12"/>
      <c r="I13" s="13"/>
      <c r="J13" s="14" t="str">
        <f aca="false">IF(OR(A13="",H13=""),"",H13-A13)</f>
        <v/>
      </c>
      <c r="K13" s="14" t="str">
        <f aca="false">IF(A13="","",IF(H13&lt;&gt;"","Sent",IF(G13&lt;&gt;"","Approved",IF(F13&lt;&gt;"","Proofed",IF(E13&lt;&gt;"","Typed","Dictated")))))</f>
        <v/>
      </c>
      <c r="L13" s="13"/>
    </row>
    <row r="14" customFormat="false" ht="15" hidden="false" customHeight="false" outlineLevel="0" collapsed="false">
      <c r="A14" s="12"/>
      <c r="B14" s="13"/>
      <c r="C14" s="13"/>
      <c r="D14" s="13"/>
      <c r="E14" s="12"/>
      <c r="F14" s="13"/>
      <c r="G14" s="12"/>
      <c r="H14" s="12"/>
      <c r="I14" s="13"/>
      <c r="J14" s="14" t="str">
        <f aca="false">IF(OR(A14="",H14=""),"",H14-A14)</f>
        <v/>
      </c>
      <c r="K14" s="14" t="str">
        <f aca="false">IF(A14="","",IF(H14&lt;&gt;"","Sent",IF(G14&lt;&gt;"","Approved",IF(F14&lt;&gt;"","Proofed",IF(E14&lt;&gt;"","Typed","Dictated")))))</f>
        <v/>
      </c>
      <c r="L14" s="13"/>
    </row>
    <row r="15" customFormat="false" ht="15" hidden="false" customHeight="false" outlineLevel="0" collapsed="false">
      <c r="A15" s="12"/>
      <c r="B15" s="13"/>
      <c r="C15" s="13"/>
      <c r="D15" s="13"/>
      <c r="E15" s="12"/>
      <c r="F15" s="13"/>
      <c r="G15" s="12"/>
      <c r="H15" s="12"/>
      <c r="I15" s="13"/>
      <c r="J15" s="14" t="str">
        <f aca="false">IF(OR(A15="",H15=""),"",H15-A15)</f>
        <v/>
      </c>
      <c r="K15" s="14" t="str">
        <f aca="false">IF(A15="","",IF(H15&lt;&gt;"","Sent",IF(G15&lt;&gt;"","Approved",IF(F15&lt;&gt;"","Proofed",IF(E15&lt;&gt;"","Typed","Dictated")))))</f>
        <v/>
      </c>
      <c r="L15" s="13"/>
    </row>
    <row r="16" customFormat="false" ht="15" hidden="false" customHeight="false" outlineLevel="0" collapsed="false">
      <c r="A16" s="12"/>
      <c r="B16" s="13"/>
      <c r="C16" s="13"/>
      <c r="D16" s="13"/>
      <c r="E16" s="12"/>
      <c r="F16" s="13"/>
      <c r="G16" s="12"/>
      <c r="H16" s="12"/>
      <c r="I16" s="13"/>
      <c r="J16" s="14" t="str">
        <f aca="false">IF(OR(A16="",H16=""),"",H16-A16)</f>
        <v/>
      </c>
      <c r="K16" s="14" t="str">
        <f aca="false">IF(A16="","",IF(H16&lt;&gt;"","Sent",IF(G16&lt;&gt;"","Approved",IF(F16&lt;&gt;"","Proofed",IF(E16&lt;&gt;"","Typed","Dictated")))))</f>
        <v/>
      </c>
      <c r="L16" s="13"/>
    </row>
    <row r="17" customFormat="false" ht="15" hidden="false" customHeight="false" outlineLevel="0" collapsed="false">
      <c r="A17" s="12"/>
      <c r="B17" s="13"/>
      <c r="C17" s="13"/>
      <c r="D17" s="13"/>
      <c r="E17" s="12"/>
      <c r="F17" s="13"/>
      <c r="G17" s="12"/>
      <c r="H17" s="12"/>
      <c r="I17" s="13"/>
      <c r="J17" s="14" t="str">
        <f aca="false">IF(OR(A17="",H17=""),"",H17-A17)</f>
        <v/>
      </c>
      <c r="K17" s="14" t="str">
        <f aca="false">IF(A17="","",IF(H17&lt;&gt;"","Sent",IF(G17&lt;&gt;"","Approved",IF(F17&lt;&gt;"","Proofed",IF(E17&lt;&gt;"","Typed","Dictated")))))</f>
        <v/>
      </c>
      <c r="L17" s="13"/>
    </row>
    <row r="18" customFormat="false" ht="15" hidden="false" customHeight="false" outlineLevel="0" collapsed="false">
      <c r="A18" s="12"/>
      <c r="B18" s="13"/>
      <c r="C18" s="13"/>
      <c r="D18" s="13"/>
      <c r="E18" s="12"/>
      <c r="F18" s="13"/>
      <c r="G18" s="12"/>
      <c r="H18" s="12"/>
      <c r="I18" s="13"/>
      <c r="J18" s="14" t="str">
        <f aca="false">IF(OR(A18="",H18=""),"",H18-A18)</f>
        <v/>
      </c>
      <c r="K18" s="14" t="str">
        <f aca="false">IF(A18="","",IF(H18&lt;&gt;"","Sent",IF(G18&lt;&gt;"","Approved",IF(F18&lt;&gt;"","Proofed",IF(E18&lt;&gt;"","Typed","Dictated")))))</f>
        <v/>
      </c>
      <c r="L18" s="13"/>
    </row>
    <row r="19" customFormat="false" ht="15" hidden="false" customHeight="false" outlineLevel="0" collapsed="false">
      <c r="A19" s="12"/>
      <c r="B19" s="13"/>
      <c r="C19" s="13"/>
      <c r="D19" s="13"/>
      <c r="E19" s="12"/>
      <c r="F19" s="13"/>
      <c r="G19" s="12"/>
      <c r="H19" s="12"/>
      <c r="I19" s="13"/>
      <c r="J19" s="14" t="str">
        <f aca="false">IF(OR(A19="",H19=""),"",H19-A19)</f>
        <v/>
      </c>
      <c r="K19" s="14" t="str">
        <f aca="false">IF(A19="","",IF(H19&lt;&gt;"","Sent",IF(G19&lt;&gt;"","Approved",IF(F19&lt;&gt;"","Proofed",IF(E19&lt;&gt;"","Typed","Dictated")))))</f>
        <v/>
      </c>
      <c r="L19" s="13"/>
    </row>
    <row r="20" customFormat="false" ht="15" hidden="false" customHeight="false" outlineLevel="0" collapsed="false">
      <c r="A20" s="12"/>
      <c r="B20" s="13"/>
      <c r="C20" s="13"/>
      <c r="D20" s="13"/>
      <c r="E20" s="12"/>
      <c r="F20" s="13"/>
      <c r="G20" s="12"/>
      <c r="H20" s="12"/>
      <c r="I20" s="13"/>
      <c r="J20" s="14" t="str">
        <f aca="false">IF(OR(A20="",H20=""),"",H20-A20)</f>
        <v/>
      </c>
      <c r="K20" s="14" t="str">
        <f aca="false">IF(A20="","",IF(H20&lt;&gt;"","Sent",IF(G20&lt;&gt;"","Approved",IF(F20&lt;&gt;"","Proofed",IF(E20&lt;&gt;"","Typed","Dictated")))))</f>
        <v/>
      </c>
      <c r="L20" s="13"/>
    </row>
    <row r="21" customFormat="false" ht="15" hidden="false" customHeight="false" outlineLevel="0" collapsed="false">
      <c r="A21" s="12"/>
      <c r="B21" s="13"/>
      <c r="C21" s="13"/>
      <c r="D21" s="13"/>
      <c r="E21" s="12"/>
      <c r="F21" s="13"/>
      <c r="G21" s="12"/>
      <c r="H21" s="12"/>
      <c r="I21" s="13"/>
      <c r="J21" s="14" t="str">
        <f aca="false">IF(OR(A21="",H21=""),"",H21-A21)</f>
        <v/>
      </c>
      <c r="K21" s="14" t="str">
        <f aca="false">IF(A21="","",IF(H21&lt;&gt;"","Sent",IF(G21&lt;&gt;"","Approved",IF(F21&lt;&gt;"","Proofed",IF(E21&lt;&gt;"","Typed","Dictated")))))</f>
        <v/>
      </c>
      <c r="L21" s="13"/>
    </row>
    <row r="22" customFormat="false" ht="15" hidden="false" customHeight="false" outlineLevel="0" collapsed="false">
      <c r="A22" s="12"/>
      <c r="B22" s="13"/>
      <c r="C22" s="13"/>
      <c r="D22" s="13"/>
      <c r="E22" s="12"/>
      <c r="F22" s="13"/>
      <c r="G22" s="12"/>
      <c r="H22" s="12"/>
      <c r="I22" s="13"/>
      <c r="J22" s="14" t="str">
        <f aca="false">IF(OR(A22="",H22=""),"",H22-A22)</f>
        <v/>
      </c>
      <c r="K22" s="14" t="str">
        <f aca="false">IF(A22="","",IF(H22&lt;&gt;"","Sent",IF(G22&lt;&gt;"","Approved",IF(F22&lt;&gt;"","Proofed",IF(E22&lt;&gt;"","Typed","Dictated")))))</f>
        <v/>
      </c>
      <c r="L22" s="13"/>
    </row>
    <row r="23" customFormat="false" ht="15" hidden="false" customHeight="false" outlineLevel="0" collapsed="false">
      <c r="A23" s="12"/>
      <c r="B23" s="13"/>
      <c r="C23" s="13"/>
      <c r="D23" s="13"/>
      <c r="E23" s="12"/>
      <c r="F23" s="13"/>
      <c r="G23" s="12"/>
      <c r="H23" s="12"/>
      <c r="I23" s="13"/>
      <c r="J23" s="14" t="str">
        <f aca="false">IF(OR(A23="",H23=""),"",H23-A23)</f>
        <v/>
      </c>
      <c r="K23" s="14" t="str">
        <f aca="false">IF(A23="","",IF(H23&lt;&gt;"","Sent",IF(G23&lt;&gt;"","Approved",IF(F23&lt;&gt;"","Proofed",IF(E23&lt;&gt;"","Typed","Dictated")))))</f>
        <v/>
      </c>
      <c r="L23" s="13"/>
    </row>
    <row r="24" customFormat="false" ht="15" hidden="false" customHeight="false" outlineLevel="0" collapsed="false">
      <c r="A24" s="12"/>
      <c r="B24" s="13"/>
      <c r="C24" s="13"/>
      <c r="D24" s="13"/>
      <c r="E24" s="12"/>
      <c r="F24" s="13"/>
      <c r="G24" s="12"/>
      <c r="H24" s="12"/>
      <c r="I24" s="13"/>
      <c r="J24" s="14" t="str">
        <f aca="false">IF(OR(A24="",H24=""),"",H24-A24)</f>
        <v/>
      </c>
      <c r="K24" s="14" t="str">
        <f aca="false">IF(A24="","",IF(H24&lt;&gt;"","Sent",IF(G24&lt;&gt;"","Approved",IF(F24&lt;&gt;"","Proofed",IF(E24&lt;&gt;"","Typed","Dictated")))))</f>
        <v/>
      </c>
      <c r="L24" s="13"/>
    </row>
    <row r="25" customFormat="false" ht="15" hidden="false" customHeight="false" outlineLevel="0" collapsed="false">
      <c r="A25" s="12"/>
      <c r="B25" s="13"/>
      <c r="C25" s="13"/>
      <c r="D25" s="13"/>
      <c r="E25" s="12"/>
      <c r="F25" s="13"/>
      <c r="G25" s="12"/>
      <c r="H25" s="12"/>
      <c r="I25" s="13"/>
      <c r="J25" s="14" t="str">
        <f aca="false">IF(OR(A25="",H25=""),"",H25-A25)</f>
        <v/>
      </c>
      <c r="K25" s="14" t="str">
        <f aca="false">IF(A25="","",IF(H25&lt;&gt;"","Sent",IF(G25&lt;&gt;"","Approved",IF(F25&lt;&gt;"","Proofed",IF(E25&lt;&gt;"","Typed","Dictated")))))</f>
        <v/>
      </c>
      <c r="L25" s="13"/>
    </row>
    <row r="26" customFormat="false" ht="15" hidden="false" customHeight="false" outlineLevel="0" collapsed="false">
      <c r="A26" s="12"/>
      <c r="B26" s="13"/>
      <c r="C26" s="13"/>
      <c r="D26" s="13"/>
      <c r="E26" s="12"/>
      <c r="F26" s="13"/>
      <c r="G26" s="12"/>
      <c r="H26" s="12"/>
      <c r="I26" s="13"/>
      <c r="J26" s="14" t="str">
        <f aca="false">IF(OR(A26="",H26=""),"",H26-A26)</f>
        <v/>
      </c>
      <c r="K26" s="14" t="str">
        <f aca="false">IF(A26="","",IF(H26&lt;&gt;"","Sent",IF(G26&lt;&gt;"","Approved",IF(F26&lt;&gt;"","Proofed",IF(E26&lt;&gt;"","Typed","Dictated")))))</f>
        <v/>
      </c>
      <c r="L26" s="13"/>
    </row>
    <row r="27" customFormat="false" ht="15" hidden="false" customHeight="false" outlineLevel="0" collapsed="false">
      <c r="A27" s="12"/>
      <c r="B27" s="13"/>
      <c r="C27" s="13"/>
      <c r="D27" s="13"/>
      <c r="E27" s="12"/>
      <c r="F27" s="13"/>
      <c r="G27" s="12"/>
      <c r="H27" s="12"/>
      <c r="I27" s="13"/>
      <c r="J27" s="14" t="str">
        <f aca="false">IF(OR(A27="",H27=""),"",H27-A27)</f>
        <v/>
      </c>
      <c r="K27" s="14" t="str">
        <f aca="false">IF(A27="","",IF(H27&lt;&gt;"","Sent",IF(G27&lt;&gt;"","Approved",IF(F27&lt;&gt;"","Proofed",IF(E27&lt;&gt;"","Typed","Dictated")))))</f>
        <v/>
      </c>
      <c r="L27" s="13"/>
    </row>
    <row r="28" customFormat="false" ht="15" hidden="false" customHeight="false" outlineLevel="0" collapsed="false">
      <c r="A28" s="12"/>
      <c r="B28" s="13"/>
      <c r="C28" s="13"/>
      <c r="D28" s="13"/>
      <c r="E28" s="12"/>
      <c r="F28" s="13"/>
      <c r="G28" s="12"/>
      <c r="H28" s="12"/>
      <c r="I28" s="13"/>
      <c r="J28" s="14" t="str">
        <f aca="false">IF(OR(A28="",H28=""),"",H28-A28)</f>
        <v/>
      </c>
      <c r="K28" s="14" t="str">
        <f aca="false">IF(A28="","",IF(H28&lt;&gt;"","Sent",IF(G28&lt;&gt;"","Approved",IF(F28&lt;&gt;"","Proofed",IF(E28&lt;&gt;"","Typed","Dictated")))))</f>
        <v/>
      </c>
      <c r="L28" s="13"/>
    </row>
    <row r="29" customFormat="false" ht="15" hidden="false" customHeight="false" outlineLevel="0" collapsed="false">
      <c r="A29" s="12"/>
      <c r="B29" s="13"/>
      <c r="C29" s="13"/>
      <c r="D29" s="13"/>
      <c r="E29" s="12"/>
      <c r="F29" s="13"/>
      <c r="G29" s="12"/>
      <c r="H29" s="12"/>
      <c r="I29" s="13"/>
      <c r="J29" s="14" t="str">
        <f aca="false">IF(OR(A29="",H29=""),"",H29-A29)</f>
        <v/>
      </c>
      <c r="K29" s="14" t="str">
        <f aca="false">IF(A29="","",IF(H29&lt;&gt;"","Sent",IF(G29&lt;&gt;"","Approved",IF(F29&lt;&gt;"","Proofed",IF(E29&lt;&gt;"","Typed","Dictated")))))</f>
        <v/>
      </c>
      <c r="L29" s="13"/>
    </row>
    <row r="30" customFormat="false" ht="15" hidden="false" customHeight="false" outlineLevel="0" collapsed="false">
      <c r="A30" s="12"/>
      <c r="B30" s="13"/>
      <c r="C30" s="13"/>
      <c r="D30" s="13"/>
      <c r="E30" s="12"/>
      <c r="F30" s="13"/>
      <c r="G30" s="12"/>
      <c r="H30" s="12"/>
      <c r="I30" s="13"/>
      <c r="J30" s="14" t="str">
        <f aca="false">IF(OR(A30="",H30=""),"",H30-A30)</f>
        <v/>
      </c>
      <c r="K30" s="14" t="str">
        <f aca="false">IF(A30="","",IF(H30&lt;&gt;"","Sent",IF(G30&lt;&gt;"","Approved",IF(F30&lt;&gt;"","Proofed",IF(E30&lt;&gt;"","Typed","Dictated")))))</f>
        <v/>
      </c>
      <c r="L30" s="13"/>
    </row>
    <row r="31" customFormat="false" ht="15" hidden="false" customHeight="false" outlineLevel="0" collapsed="false">
      <c r="A31" s="12"/>
      <c r="B31" s="13"/>
      <c r="C31" s="13"/>
      <c r="D31" s="13"/>
      <c r="E31" s="12"/>
      <c r="F31" s="13"/>
      <c r="G31" s="12"/>
      <c r="H31" s="12"/>
      <c r="I31" s="13"/>
      <c r="J31" s="14" t="str">
        <f aca="false">IF(OR(A31="",H31=""),"",H31-A31)</f>
        <v/>
      </c>
      <c r="K31" s="14" t="str">
        <f aca="false">IF(A31="","",IF(H31&lt;&gt;"","Sent",IF(G31&lt;&gt;"","Approved",IF(F31&lt;&gt;"","Proofed",IF(E31&lt;&gt;"","Typed","Dictated")))))</f>
        <v/>
      </c>
      <c r="L31" s="13"/>
    </row>
    <row r="32" customFormat="false" ht="15" hidden="false" customHeight="false" outlineLevel="0" collapsed="false">
      <c r="A32" s="12"/>
      <c r="B32" s="13"/>
      <c r="C32" s="13"/>
      <c r="D32" s="13"/>
      <c r="E32" s="12"/>
      <c r="F32" s="13"/>
      <c r="G32" s="12"/>
      <c r="H32" s="12"/>
      <c r="I32" s="13"/>
      <c r="J32" s="14" t="str">
        <f aca="false">IF(OR(A32="",H32=""),"",H32-A32)</f>
        <v/>
      </c>
      <c r="K32" s="14" t="str">
        <f aca="false">IF(A32="","",IF(H32&lt;&gt;"","Sent",IF(G32&lt;&gt;"","Approved",IF(F32&lt;&gt;"","Proofed",IF(E32&lt;&gt;"","Typed","Dictated")))))</f>
        <v/>
      </c>
      <c r="L32" s="13"/>
    </row>
    <row r="33" customFormat="false" ht="15" hidden="false" customHeight="false" outlineLevel="0" collapsed="false">
      <c r="A33" s="12"/>
      <c r="B33" s="13"/>
      <c r="C33" s="13"/>
      <c r="D33" s="13"/>
      <c r="E33" s="12"/>
      <c r="F33" s="13"/>
      <c r="G33" s="12"/>
      <c r="H33" s="12"/>
      <c r="I33" s="13"/>
      <c r="J33" s="14" t="str">
        <f aca="false">IF(OR(A33="",H33=""),"",H33-A33)</f>
        <v/>
      </c>
      <c r="K33" s="14" t="str">
        <f aca="false">IF(A33="","",IF(H33&lt;&gt;"","Sent",IF(G33&lt;&gt;"","Approved",IF(F33&lt;&gt;"","Proofed",IF(E33&lt;&gt;"","Typed","Dictated")))))</f>
        <v/>
      </c>
      <c r="L33" s="13"/>
    </row>
    <row r="34" customFormat="false" ht="15" hidden="false" customHeight="false" outlineLevel="0" collapsed="false">
      <c r="A34" s="12"/>
      <c r="B34" s="13"/>
      <c r="C34" s="13"/>
      <c r="D34" s="13"/>
      <c r="E34" s="12"/>
      <c r="F34" s="13"/>
      <c r="G34" s="12"/>
      <c r="H34" s="12"/>
      <c r="I34" s="13"/>
      <c r="J34" s="14" t="str">
        <f aca="false">IF(OR(A34="",H34=""),"",H34-A34)</f>
        <v/>
      </c>
      <c r="K34" s="14" t="str">
        <f aca="false">IF(A34="","",IF(H34&lt;&gt;"","Sent",IF(G34&lt;&gt;"","Approved",IF(F34&lt;&gt;"","Proofed",IF(E34&lt;&gt;"","Typed","Dictated")))))</f>
        <v/>
      </c>
      <c r="L34" s="13"/>
    </row>
    <row r="35" customFormat="false" ht="15" hidden="false" customHeight="false" outlineLevel="0" collapsed="false">
      <c r="A35" s="12"/>
      <c r="B35" s="13"/>
      <c r="C35" s="13"/>
      <c r="D35" s="13"/>
      <c r="E35" s="12"/>
      <c r="F35" s="13"/>
      <c r="G35" s="12"/>
      <c r="H35" s="12"/>
      <c r="I35" s="13"/>
      <c r="J35" s="14" t="str">
        <f aca="false">IF(OR(A35="",H35=""),"",H35-A35)</f>
        <v/>
      </c>
      <c r="K35" s="14" t="str">
        <f aca="false">IF(A35="","",IF(H35&lt;&gt;"","Sent",IF(G35&lt;&gt;"","Approved",IF(F35&lt;&gt;"","Proofed",IF(E35&lt;&gt;"","Typed","Dictated")))))</f>
        <v/>
      </c>
      <c r="L35" s="13"/>
    </row>
    <row r="36" customFormat="false" ht="15" hidden="false" customHeight="false" outlineLevel="0" collapsed="false">
      <c r="A36" s="12"/>
      <c r="B36" s="13"/>
      <c r="C36" s="13"/>
      <c r="D36" s="13"/>
      <c r="E36" s="12"/>
      <c r="F36" s="13"/>
      <c r="G36" s="12"/>
      <c r="H36" s="12"/>
      <c r="I36" s="13"/>
      <c r="J36" s="14" t="str">
        <f aca="false">IF(OR(A36="",H36=""),"",H36-A36)</f>
        <v/>
      </c>
      <c r="K36" s="14" t="str">
        <f aca="false">IF(A36="","",IF(H36&lt;&gt;"","Sent",IF(G36&lt;&gt;"","Approved",IF(F36&lt;&gt;"","Proofed",IF(E36&lt;&gt;"","Typed","Dictated")))))</f>
        <v/>
      </c>
      <c r="L36" s="13"/>
    </row>
    <row r="37" customFormat="false" ht="15" hidden="false" customHeight="false" outlineLevel="0" collapsed="false">
      <c r="A37" s="12"/>
      <c r="B37" s="13"/>
      <c r="C37" s="13"/>
      <c r="D37" s="13"/>
      <c r="E37" s="12"/>
      <c r="F37" s="13"/>
      <c r="G37" s="12"/>
      <c r="H37" s="12"/>
      <c r="I37" s="13"/>
      <c r="J37" s="14" t="str">
        <f aca="false">IF(OR(A37="",H37=""),"",H37-A37)</f>
        <v/>
      </c>
      <c r="K37" s="14" t="str">
        <f aca="false">IF(A37="","",IF(H37&lt;&gt;"","Sent",IF(G37&lt;&gt;"","Approved",IF(F37&lt;&gt;"","Proofed",IF(E37&lt;&gt;"","Typed","Dictated")))))</f>
        <v/>
      </c>
      <c r="L37" s="13"/>
    </row>
    <row r="38" customFormat="false" ht="15" hidden="false" customHeight="false" outlineLevel="0" collapsed="false">
      <c r="A38" s="12"/>
      <c r="B38" s="13"/>
      <c r="C38" s="13"/>
      <c r="D38" s="13"/>
      <c r="E38" s="12"/>
      <c r="F38" s="13"/>
      <c r="G38" s="12"/>
      <c r="H38" s="12"/>
      <c r="I38" s="13"/>
      <c r="J38" s="14" t="str">
        <f aca="false">IF(OR(A38="",H38=""),"",H38-A38)</f>
        <v/>
      </c>
      <c r="K38" s="14" t="str">
        <f aca="false">IF(A38="","",IF(H38&lt;&gt;"","Sent",IF(G38&lt;&gt;"","Approved",IF(F38&lt;&gt;"","Proofed",IF(E38&lt;&gt;"","Typed","Dictated")))))</f>
        <v/>
      </c>
      <c r="L38" s="13"/>
    </row>
    <row r="39" customFormat="false" ht="15" hidden="false" customHeight="false" outlineLevel="0" collapsed="false">
      <c r="A39" s="12"/>
      <c r="B39" s="13"/>
      <c r="C39" s="13"/>
      <c r="D39" s="13"/>
      <c r="E39" s="12"/>
      <c r="F39" s="13"/>
      <c r="G39" s="12"/>
      <c r="H39" s="12"/>
      <c r="I39" s="13"/>
      <c r="J39" s="14" t="str">
        <f aca="false">IF(OR(A39="",H39=""),"",H39-A39)</f>
        <v/>
      </c>
      <c r="K39" s="14" t="str">
        <f aca="false">IF(A39="","",IF(H39&lt;&gt;"","Sent",IF(G39&lt;&gt;"","Approved",IF(F39&lt;&gt;"","Proofed",IF(E39&lt;&gt;"","Typed","Dictated")))))</f>
        <v/>
      </c>
      <c r="L39" s="13"/>
    </row>
    <row r="40" customFormat="false" ht="15" hidden="false" customHeight="false" outlineLevel="0" collapsed="false">
      <c r="A40" s="12"/>
      <c r="B40" s="13"/>
      <c r="C40" s="13"/>
      <c r="D40" s="13"/>
      <c r="E40" s="12"/>
      <c r="F40" s="13"/>
      <c r="G40" s="12"/>
      <c r="H40" s="12"/>
      <c r="I40" s="13"/>
      <c r="J40" s="14" t="str">
        <f aca="false">IF(OR(A40="",H40=""),"",H40-A40)</f>
        <v/>
      </c>
      <c r="K40" s="14" t="str">
        <f aca="false">IF(A40="","",IF(H40&lt;&gt;"","Sent",IF(G40&lt;&gt;"","Approved",IF(F40&lt;&gt;"","Proofed",IF(E40&lt;&gt;"","Typed","Dictated")))))</f>
        <v/>
      </c>
      <c r="L40" s="13"/>
    </row>
    <row r="41" customFormat="false" ht="15" hidden="false" customHeight="false" outlineLevel="0" collapsed="false">
      <c r="A41" s="12"/>
      <c r="B41" s="13"/>
      <c r="C41" s="13"/>
      <c r="D41" s="13"/>
      <c r="E41" s="12"/>
      <c r="F41" s="13"/>
      <c r="G41" s="12"/>
      <c r="H41" s="12"/>
      <c r="I41" s="13"/>
      <c r="J41" s="14" t="str">
        <f aca="false">IF(OR(A41="",H41=""),"",H41-A41)</f>
        <v/>
      </c>
      <c r="K41" s="14" t="str">
        <f aca="false">IF(A41="","",IF(H41&lt;&gt;"","Sent",IF(G41&lt;&gt;"","Approved",IF(F41&lt;&gt;"","Proofed",IF(E41&lt;&gt;"","Typed","Dictated")))))</f>
        <v/>
      </c>
      <c r="L41" s="13"/>
    </row>
    <row r="42" customFormat="false" ht="15" hidden="false" customHeight="false" outlineLevel="0" collapsed="false">
      <c r="A42" s="12"/>
      <c r="B42" s="13"/>
      <c r="C42" s="13"/>
      <c r="D42" s="13"/>
      <c r="E42" s="12"/>
      <c r="F42" s="13"/>
      <c r="G42" s="12"/>
      <c r="H42" s="12"/>
      <c r="I42" s="13"/>
      <c r="J42" s="14" t="str">
        <f aca="false">IF(OR(A42="",H42=""),"",H42-A42)</f>
        <v/>
      </c>
      <c r="K42" s="14" t="str">
        <f aca="false">IF(A42="","",IF(H42&lt;&gt;"","Sent",IF(G42&lt;&gt;"","Approved",IF(F42&lt;&gt;"","Proofed",IF(E42&lt;&gt;"","Typed","Dictated")))))</f>
        <v/>
      </c>
      <c r="L42" s="13"/>
    </row>
    <row r="43" customFormat="false" ht="15" hidden="false" customHeight="false" outlineLevel="0" collapsed="false">
      <c r="A43" s="12"/>
      <c r="B43" s="13"/>
      <c r="C43" s="13"/>
      <c r="D43" s="13"/>
      <c r="E43" s="12"/>
      <c r="F43" s="13"/>
      <c r="G43" s="12"/>
      <c r="H43" s="12"/>
      <c r="I43" s="13"/>
      <c r="J43" s="14" t="str">
        <f aca="false">IF(OR(A43="",H43=""),"",H43-A43)</f>
        <v/>
      </c>
      <c r="K43" s="14" t="str">
        <f aca="false">IF(A43="","",IF(H43&lt;&gt;"","Sent",IF(G43&lt;&gt;"","Approved",IF(F43&lt;&gt;"","Proofed",IF(E43&lt;&gt;"","Typed","Dictated")))))</f>
        <v/>
      </c>
      <c r="L43" s="13"/>
    </row>
    <row r="44" customFormat="false" ht="15" hidden="false" customHeight="false" outlineLevel="0" collapsed="false">
      <c r="A44" s="12"/>
      <c r="B44" s="13"/>
      <c r="C44" s="13"/>
      <c r="D44" s="13"/>
      <c r="E44" s="12"/>
      <c r="F44" s="13"/>
      <c r="G44" s="12"/>
      <c r="H44" s="12"/>
      <c r="I44" s="13"/>
      <c r="J44" s="14" t="str">
        <f aca="false">IF(OR(A44="",H44=""),"",H44-A44)</f>
        <v/>
      </c>
      <c r="K44" s="14" t="str">
        <f aca="false">IF(A44="","",IF(H44&lt;&gt;"","Sent",IF(G44&lt;&gt;"","Approved",IF(F44&lt;&gt;"","Proofed",IF(E44&lt;&gt;"","Typed","Dictated")))))</f>
        <v/>
      </c>
      <c r="L44" s="13"/>
    </row>
    <row r="45" customFormat="false" ht="15" hidden="false" customHeight="false" outlineLevel="0" collapsed="false">
      <c r="A45" s="12"/>
      <c r="B45" s="13"/>
      <c r="C45" s="13"/>
      <c r="D45" s="13"/>
      <c r="E45" s="12"/>
      <c r="F45" s="13"/>
      <c r="G45" s="12"/>
      <c r="H45" s="12"/>
      <c r="I45" s="13"/>
      <c r="J45" s="14" t="str">
        <f aca="false">IF(OR(A45="",H45=""),"",H45-A45)</f>
        <v/>
      </c>
      <c r="K45" s="14" t="str">
        <f aca="false">IF(A45="","",IF(H45&lt;&gt;"","Sent",IF(G45&lt;&gt;"","Approved",IF(F45&lt;&gt;"","Proofed",IF(E45&lt;&gt;"","Typed","Dictated")))))</f>
        <v/>
      </c>
      <c r="L45" s="13"/>
    </row>
    <row r="46" customFormat="false" ht="15" hidden="false" customHeight="false" outlineLevel="0" collapsed="false">
      <c r="A46" s="12"/>
      <c r="B46" s="13"/>
      <c r="C46" s="13"/>
      <c r="D46" s="13"/>
      <c r="E46" s="12"/>
      <c r="F46" s="13"/>
      <c r="G46" s="12"/>
      <c r="H46" s="12"/>
      <c r="I46" s="13"/>
      <c r="J46" s="14" t="str">
        <f aca="false">IF(OR(A46="",H46=""),"",H46-A46)</f>
        <v/>
      </c>
      <c r="K46" s="14" t="str">
        <f aca="false">IF(A46="","",IF(H46&lt;&gt;"","Sent",IF(G46&lt;&gt;"","Approved",IF(F46&lt;&gt;"","Proofed",IF(E46&lt;&gt;"","Typed","Dictated")))))</f>
        <v/>
      </c>
      <c r="L46" s="13"/>
    </row>
    <row r="47" customFormat="false" ht="15" hidden="false" customHeight="false" outlineLevel="0" collapsed="false">
      <c r="A47" s="12"/>
      <c r="B47" s="13"/>
      <c r="C47" s="13"/>
      <c r="D47" s="13"/>
      <c r="E47" s="12"/>
      <c r="F47" s="13"/>
      <c r="G47" s="12"/>
      <c r="H47" s="12"/>
      <c r="I47" s="13"/>
      <c r="J47" s="14" t="str">
        <f aca="false">IF(OR(A47="",H47=""),"",H47-A47)</f>
        <v/>
      </c>
      <c r="K47" s="14" t="str">
        <f aca="false">IF(A47="","",IF(H47&lt;&gt;"","Sent",IF(G47&lt;&gt;"","Approved",IF(F47&lt;&gt;"","Proofed",IF(E47&lt;&gt;"","Typed","Dictated")))))</f>
        <v/>
      </c>
      <c r="L47" s="13"/>
    </row>
    <row r="48" customFormat="false" ht="15" hidden="false" customHeight="false" outlineLevel="0" collapsed="false">
      <c r="A48" s="12"/>
      <c r="B48" s="13"/>
      <c r="C48" s="13"/>
      <c r="D48" s="13"/>
      <c r="E48" s="12"/>
      <c r="F48" s="13"/>
      <c r="G48" s="12"/>
      <c r="H48" s="12"/>
      <c r="I48" s="13"/>
      <c r="J48" s="14" t="str">
        <f aca="false">IF(OR(A48="",H48=""),"",H48-A48)</f>
        <v/>
      </c>
      <c r="K48" s="14" t="str">
        <f aca="false">IF(A48="","",IF(H48&lt;&gt;"","Sent",IF(G48&lt;&gt;"","Approved",IF(F48&lt;&gt;"","Proofed",IF(E48&lt;&gt;"","Typed","Dictated")))))</f>
        <v/>
      </c>
      <c r="L48" s="13"/>
    </row>
    <row r="49" customFormat="false" ht="15" hidden="false" customHeight="false" outlineLevel="0" collapsed="false">
      <c r="A49" s="12"/>
      <c r="B49" s="13"/>
      <c r="C49" s="13"/>
      <c r="D49" s="13"/>
      <c r="E49" s="12"/>
      <c r="F49" s="13"/>
      <c r="G49" s="12"/>
      <c r="H49" s="12"/>
      <c r="I49" s="13"/>
      <c r="J49" s="14" t="str">
        <f aca="false">IF(OR(A49="",H49=""),"",H49-A49)</f>
        <v/>
      </c>
      <c r="K49" s="14" t="str">
        <f aca="false">IF(A49="","",IF(H49&lt;&gt;"","Sent",IF(G49&lt;&gt;"","Approved",IF(F49&lt;&gt;"","Proofed",IF(E49&lt;&gt;"","Typed","Dictated")))))</f>
        <v/>
      </c>
      <c r="L49" s="13"/>
    </row>
    <row r="50" customFormat="false" ht="15" hidden="false" customHeight="false" outlineLevel="0" collapsed="false">
      <c r="A50" s="12"/>
      <c r="B50" s="13"/>
      <c r="C50" s="13"/>
      <c r="D50" s="13"/>
      <c r="E50" s="12"/>
      <c r="F50" s="13"/>
      <c r="G50" s="12"/>
      <c r="H50" s="12"/>
      <c r="I50" s="13"/>
      <c r="J50" s="14" t="str">
        <f aca="false">IF(OR(A50="",H50=""),"",H50-A50)</f>
        <v/>
      </c>
      <c r="K50" s="14" t="str">
        <f aca="false">IF(A50="","",IF(H50&lt;&gt;"","Sent",IF(G50&lt;&gt;"","Approved",IF(F50&lt;&gt;"","Proofed",IF(E50&lt;&gt;"","Typed","Dictated")))))</f>
        <v/>
      </c>
      <c r="L50" s="13"/>
    </row>
    <row r="51" customFormat="false" ht="15" hidden="false" customHeight="false" outlineLevel="0" collapsed="false">
      <c r="A51" s="12"/>
      <c r="B51" s="13"/>
      <c r="C51" s="13"/>
      <c r="D51" s="13"/>
      <c r="E51" s="12"/>
      <c r="F51" s="13"/>
      <c r="G51" s="12"/>
      <c r="H51" s="12"/>
      <c r="I51" s="13"/>
      <c r="J51" s="14" t="str">
        <f aca="false">IF(OR(A51="",H51=""),"",H51-A51)</f>
        <v/>
      </c>
      <c r="K51" s="14" t="str">
        <f aca="false">IF(A51="","",IF(H51&lt;&gt;"","Sent",IF(G51&lt;&gt;"","Approved",IF(F51&lt;&gt;"","Proofed",IF(E51&lt;&gt;"","Typed","Dictated")))))</f>
        <v/>
      </c>
      <c r="L51" s="13"/>
    </row>
    <row r="52" customFormat="false" ht="15" hidden="false" customHeight="false" outlineLevel="0" collapsed="false">
      <c r="A52" s="12"/>
      <c r="B52" s="13"/>
      <c r="C52" s="13"/>
      <c r="D52" s="13"/>
      <c r="E52" s="12"/>
      <c r="F52" s="13"/>
      <c r="G52" s="12"/>
      <c r="H52" s="12"/>
      <c r="I52" s="13"/>
      <c r="J52" s="14" t="str">
        <f aca="false">IF(OR(A52="",H52=""),"",H52-A52)</f>
        <v/>
      </c>
      <c r="K52" s="14" t="str">
        <f aca="false">IF(A52="","",IF(H52&lt;&gt;"","Sent",IF(G52&lt;&gt;"","Approved",IF(F52&lt;&gt;"","Proofed",IF(E52&lt;&gt;"","Typed","Dictated")))))</f>
        <v/>
      </c>
      <c r="L52" s="13"/>
    </row>
    <row r="53" customFormat="false" ht="15" hidden="false" customHeight="false" outlineLevel="0" collapsed="false">
      <c r="A53" s="12"/>
      <c r="B53" s="13"/>
      <c r="C53" s="13"/>
      <c r="D53" s="13"/>
      <c r="E53" s="12"/>
      <c r="F53" s="13"/>
      <c r="G53" s="12"/>
      <c r="H53" s="12"/>
      <c r="I53" s="13"/>
      <c r="J53" s="14" t="str">
        <f aca="false">IF(OR(A53="",H53=""),"",H53-A53)</f>
        <v/>
      </c>
      <c r="K53" s="14" t="str">
        <f aca="false">IF(A53="","",IF(H53&lt;&gt;"","Sent",IF(G53&lt;&gt;"","Approved",IF(F53&lt;&gt;"","Proofed",IF(E53&lt;&gt;"","Typed","Dictated")))))</f>
        <v/>
      </c>
      <c r="L53" s="13"/>
    </row>
    <row r="54" customFormat="false" ht="15" hidden="false" customHeight="false" outlineLevel="0" collapsed="false">
      <c r="A54" s="12"/>
      <c r="B54" s="13"/>
      <c r="C54" s="13"/>
      <c r="D54" s="13"/>
      <c r="E54" s="12"/>
      <c r="F54" s="13"/>
      <c r="G54" s="12"/>
      <c r="H54" s="12"/>
      <c r="I54" s="13"/>
      <c r="J54" s="14" t="str">
        <f aca="false">IF(OR(A54="",H54=""),"",H54-A54)</f>
        <v/>
      </c>
      <c r="K54" s="14" t="str">
        <f aca="false">IF(A54="","",IF(H54&lt;&gt;"","Sent",IF(G54&lt;&gt;"","Approved",IF(F54&lt;&gt;"","Proofed",IF(E54&lt;&gt;"","Typed","Dictated")))))</f>
        <v/>
      </c>
      <c r="L54" s="13"/>
    </row>
    <row r="55" customFormat="false" ht="15" hidden="false" customHeight="false" outlineLevel="0" collapsed="false">
      <c r="A55" s="12"/>
      <c r="B55" s="13"/>
      <c r="C55" s="13"/>
      <c r="D55" s="13"/>
      <c r="E55" s="12"/>
      <c r="F55" s="13"/>
      <c r="G55" s="12"/>
      <c r="H55" s="12"/>
      <c r="I55" s="13"/>
      <c r="J55" s="14" t="str">
        <f aca="false">IF(OR(A55="",H55=""),"",H55-A55)</f>
        <v/>
      </c>
      <c r="K55" s="14" t="str">
        <f aca="false">IF(A55="","",IF(H55&lt;&gt;"","Sent",IF(G55&lt;&gt;"","Approved",IF(F55&lt;&gt;"","Proofed",IF(E55&lt;&gt;"","Typed","Dictated")))))</f>
        <v/>
      </c>
      <c r="L55" s="13"/>
    </row>
    <row r="56" customFormat="false" ht="15" hidden="false" customHeight="false" outlineLevel="0" collapsed="false">
      <c r="A56" s="12"/>
      <c r="B56" s="13"/>
      <c r="C56" s="13"/>
      <c r="D56" s="13"/>
      <c r="E56" s="12"/>
      <c r="F56" s="13"/>
      <c r="G56" s="12"/>
      <c r="H56" s="12"/>
      <c r="I56" s="13"/>
      <c r="J56" s="14" t="str">
        <f aca="false">IF(OR(A56="",H56=""),"",H56-A56)</f>
        <v/>
      </c>
      <c r="K56" s="14" t="str">
        <f aca="false">IF(A56="","",IF(H56&lt;&gt;"","Sent",IF(G56&lt;&gt;"","Approved",IF(F56&lt;&gt;"","Proofed",IF(E56&lt;&gt;"","Typed","Dictated")))))</f>
        <v/>
      </c>
      <c r="L56" s="13"/>
    </row>
    <row r="57" customFormat="false" ht="15" hidden="false" customHeight="false" outlineLevel="0" collapsed="false">
      <c r="A57" s="12"/>
      <c r="B57" s="13"/>
      <c r="C57" s="13"/>
      <c r="D57" s="13"/>
      <c r="E57" s="12"/>
      <c r="F57" s="13"/>
      <c r="G57" s="12"/>
      <c r="H57" s="12"/>
      <c r="I57" s="13"/>
      <c r="J57" s="14" t="str">
        <f aca="false">IF(OR(A57="",H57=""),"",H57-A57)</f>
        <v/>
      </c>
      <c r="K57" s="14" t="str">
        <f aca="false">IF(A57="","",IF(H57&lt;&gt;"","Sent",IF(G57&lt;&gt;"","Approved",IF(F57&lt;&gt;"","Proofed",IF(E57&lt;&gt;"","Typed","Dictated")))))</f>
        <v/>
      </c>
      <c r="L57" s="13"/>
    </row>
    <row r="58" customFormat="false" ht="15" hidden="false" customHeight="false" outlineLevel="0" collapsed="false">
      <c r="A58" s="12"/>
      <c r="B58" s="13"/>
      <c r="C58" s="13"/>
      <c r="D58" s="13"/>
      <c r="E58" s="12"/>
      <c r="F58" s="13"/>
      <c r="G58" s="12"/>
      <c r="H58" s="12"/>
      <c r="I58" s="13"/>
      <c r="J58" s="14" t="str">
        <f aca="false">IF(OR(A58="",H58=""),"",H58-A58)</f>
        <v/>
      </c>
      <c r="K58" s="14" t="str">
        <f aca="false">IF(A58="","",IF(H58&lt;&gt;"","Sent",IF(G58&lt;&gt;"","Approved",IF(F58&lt;&gt;"","Proofed",IF(E58&lt;&gt;"","Typed","Dictated")))))</f>
        <v/>
      </c>
      <c r="L58" s="13"/>
    </row>
    <row r="59" customFormat="false" ht="15" hidden="false" customHeight="false" outlineLevel="0" collapsed="false">
      <c r="A59" s="12"/>
      <c r="B59" s="13"/>
      <c r="C59" s="13"/>
      <c r="D59" s="13"/>
      <c r="E59" s="12"/>
      <c r="F59" s="13"/>
      <c r="G59" s="12"/>
      <c r="H59" s="12"/>
      <c r="I59" s="13"/>
      <c r="J59" s="14" t="str">
        <f aca="false">IF(OR(A59="",H59=""),"",H59-A59)</f>
        <v/>
      </c>
      <c r="K59" s="14" t="str">
        <f aca="false">IF(A59="","",IF(H59&lt;&gt;"","Sent",IF(G59&lt;&gt;"","Approved",IF(F59&lt;&gt;"","Proofed",IF(E59&lt;&gt;"","Typed","Dictated")))))</f>
        <v/>
      </c>
      <c r="L59" s="13"/>
    </row>
    <row r="60" customFormat="false" ht="15" hidden="false" customHeight="false" outlineLevel="0" collapsed="false">
      <c r="A60" s="12"/>
      <c r="B60" s="13"/>
      <c r="C60" s="13"/>
      <c r="D60" s="13"/>
      <c r="E60" s="12"/>
      <c r="F60" s="13"/>
      <c r="G60" s="12"/>
      <c r="H60" s="12"/>
      <c r="I60" s="13"/>
      <c r="J60" s="14" t="str">
        <f aca="false">IF(OR(A60="",H60=""),"",H60-A60)</f>
        <v/>
      </c>
      <c r="K60" s="14" t="str">
        <f aca="false">IF(A60="","",IF(H60&lt;&gt;"","Sent",IF(G60&lt;&gt;"","Approved",IF(F60&lt;&gt;"","Proofed",IF(E60&lt;&gt;"","Typed","Dictated")))))</f>
        <v/>
      </c>
      <c r="L60" s="13"/>
    </row>
    <row r="61" customFormat="false" ht="15" hidden="false" customHeight="false" outlineLevel="0" collapsed="false">
      <c r="A61" s="12"/>
      <c r="B61" s="13"/>
      <c r="C61" s="13"/>
      <c r="D61" s="13"/>
      <c r="E61" s="12"/>
      <c r="F61" s="13"/>
      <c r="G61" s="12"/>
      <c r="H61" s="12"/>
      <c r="I61" s="13"/>
      <c r="J61" s="14" t="str">
        <f aca="false">IF(OR(A61="",H61=""),"",H61-A61)</f>
        <v/>
      </c>
      <c r="K61" s="14" t="str">
        <f aca="false">IF(A61="","",IF(H61&lt;&gt;"","Sent",IF(G61&lt;&gt;"","Approved",IF(F61&lt;&gt;"","Proofed",IF(E61&lt;&gt;"","Typed","Dictated")))))</f>
        <v/>
      </c>
      <c r="L61" s="13"/>
    </row>
    <row r="62" customFormat="false" ht="15" hidden="false" customHeight="false" outlineLevel="0" collapsed="false">
      <c r="A62" s="12"/>
      <c r="B62" s="13"/>
      <c r="C62" s="13"/>
      <c r="D62" s="13"/>
      <c r="E62" s="12"/>
      <c r="F62" s="13"/>
      <c r="G62" s="12"/>
      <c r="H62" s="12"/>
      <c r="I62" s="13"/>
      <c r="J62" s="14" t="str">
        <f aca="false">IF(OR(A62="",H62=""),"",H62-A62)</f>
        <v/>
      </c>
      <c r="K62" s="14" t="str">
        <f aca="false">IF(A62="","",IF(H62&lt;&gt;"","Sent",IF(G62&lt;&gt;"","Approved",IF(F62&lt;&gt;"","Proofed",IF(E62&lt;&gt;"","Typed","Dictated")))))</f>
        <v/>
      </c>
      <c r="L62" s="13"/>
    </row>
    <row r="63" customFormat="false" ht="15" hidden="false" customHeight="false" outlineLevel="0" collapsed="false">
      <c r="A63" s="12"/>
      <c r="B63" s="13"/>
      <c r="C63" s="13"/>
      <c r="D63" s="13"/>
      <c r="E63" s="12"/>
      <c r="F63" s="13"/>
      <c r="G63" s="12"/>
      <c r="H63" s="12"/>
      <c r="I63" s="13"/>
      <c r="J63" s="14" t="str">
        <f aca="false">IF(OR(A63="",H63=""),"",H63-A63)</f>
        <v/>
      </c>
      <c r="K63" s="14" t="str">
        <f aca="false">IF(A63="","",IF(H63&lt;&gt;"","Sent",IF(G63&lt;&gt;"","Approved",IF(F63&lt;&gt;"","Proofed",IF(E63&lt;&gt;"","Typed","Dictated")))))</f>
        <v/>
      </c>
      <c r="L63" s="13"/>
    </row>
    <row r="64" customFormat="false" ht="15" hidden="false" customHeight="false" outlineLevel="0" collapsed="false">
      <c r="A64" s="12"/>
      <c r="B64" s="13"/>
      <c r="C64" s="13"/>
      <c r="D64" s="13"/>
      <c r="E64" s="12"/>
      <c r="F64" s="13"/>
      <c r="G64" s="12"/>
      <c r="H64" s="12"/>
      <c r="I64" s="13"/>
      <c r="J64" s="14" t="str">
        <f aca="false">IF(OR(A64="",H64=""),"",H64-A64)</f>
        <v/>
      </c>
      <c r="K64" s="14" t="str">
        <f aca="false">IF(A64="","",IF(H64&lt;&gt;"","Sent",IF(G64&lt;&gt;"","Approved",IF(F64&lt;&gt;"","Proofed",IF(E64&lt;&gt;"","Typed","Dictated")))))</f>
        <v/>
      </c>
      <c r="L64" s="13"/>
    </row>
  </sheetData>
  <mergeCells count="2">
    <mergeCell ref="A1:L1"/>
    <mergeCell ref="A2:L2"/>
  </mergeCells>
  <conditionalFormatting sqref="A5:L64">
    <cfRule type="expression" priority="2" aboveAverage="0" equalAverage="0" bottom="0" percent="0" rank="0" text="" dxfId="0">
      <formula>$K5="Sent"</formula>
    </cfRule>
    <cfRule type="expression" priority="3" aboveAverage="0" equalAverage="0" bottom="0" percent="0" rank="0" text="" dxfId="1">
      <formula>AND($K5&lt;&gt;"",$K5&lt;&gt;"Sent")</formula>
    </cfRule>
  </conditionalFormatting>
  <dataValidations count="1">
    <dataValidation allowBlank="true" errorStyle="stop" operator="between" showDropDown="false" showErrorMessage="false" showInputMessage="false" sqref="D5:D64" type="list">
      <formula1>"Clinic Letter,Discharge Summary,Referral Reply,Other"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</cols>
  <sheetData>
    <row r="1" customFormat="false" ht="24" hidden="false" customHeight="true" outlineLevel="0" collapsed="false">
      <c r="A1" s="10" t="s">
        <v>30</v>
      </c>
      <c r="B1" s="10"/>
    </row>
    <row r="2" customFormat="false" ht="15.75" hidden="false" customHeight="true" outlineLevel="0" collapsed="false">
      <c r="A2" s="9" t="s">
        <v>31</v>
      </c>
      <c r="B2" s="9"/>
    </row>
    <row r="4" customFormat="false" ht="15" hidden="false" customHeight="false" outlineLevel="0" collapsed="false">
      <c r="A4" s="1" t="s">
        <v>32</v>
      </c>
    </row>
    <row r="5" customFormat="false" ht="15" hidden="false" customHeight="false" outlineLevel="0" collapsed="false">
      <c r="A5" s="15" t="s">
        <v>33</v>
      </c>
      <c r="B5" s="16" t="n">
        <f aca="false">COUNTA(Tracker!A5:A64)</f>
        <v>0</v>
      </c>
    </row>
    <row r="6" customFormat="false" ht="15" hidden="false" customHeight="false" outlineLevel="0" collapsed="false">
      <c r="A6" s="15" t="s">
        <v>34</v>
      </c>
      <c r="B6" s="16" t="n">
        <f aca="false">COUNTIF(Tracker!K5:K64,"Dictated")</f>
        <v>0</v>
      </c>
    </row>
    <row r="7" customFormat="false" ht="15" hidden="false" customHeight="false" outlineLevel="0" collapsed="false">
      <c r="A7" s="15" t="s">
        <v>35</v>
      </c>
      <c r="B7" s="16" t="n">
        <f aca="false">COUNTIF(Tracker!K5:K64,"Typed")</f>
        <v>0</v>
      </c>
    </row>
    <row r="8" customFormat="false" ht="15" hidden="false" customHeight="false" outlineLevel="0" collapsed="false">
      <c r="A8" s="15" t="s">
        <v>36</v>
      </c>
      <c r="B8" s="16" t="n">
        <f aca="false">COUNTIF(Tracker!K5:K64,"Proofed")</f>
        <v>0</v>
      </c>
    </row>
    <row r="9" customFormat="false" ht="15" hidden="false" customHeight="false" outlineLevel="0" collapsed="false">
      <c r="A9" s="15" t="s">
        <v>37</v>
      </c>
      <c r="B9" s="16" t="n">
        <f aca="false">COUNTIF(Tracker!K5:K64,"Approved")</f>
        <v>0</v>
      </c>
    </row>
    <row r="10" customFormat="false" ht="15" hidden="false" customHeight="false" outlineLevel="0" collapsed="false">
      <c r="A10" s="15" t="s">
        <v>14</v>
      </c>
      <c r="B10" s="16" t="n">
        <f aca="false">COUNTIF(Tracker!K5:K64,"Sent")</f>
        <v>0</v>
      </c>
    </row>
    <row r="12" customFormat="false" ht="15" hidden="false" customHeight="false" outlineLevel="0" collapsed="false">
      <c r="A12" s="15" t="s">
        <v>38</v>
      </c>
      <c r="B12" s="16" t="str">
        <f aca="false">IFERROR(AVERAGEIF(Tracker!K5:K64,"Sent",Tracker!J5:J64),"")</f>
        <v/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2026-07-09T08:06:46Z</dcterms:created>
  <dc:creator>openpyxl</dc:creator>
  <dc:description/>
  <dc:language>en-US</dc:language>
  <cp:lastModifiedBy/>
  <dcterms:modified xsi:type="dcterms:W3CDTF">2026-07-09T08:06:46Z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