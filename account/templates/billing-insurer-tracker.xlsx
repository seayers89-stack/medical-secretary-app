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Billing Log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<sst xmlns="http://schemas.openxmlformats.org/spreadsheetml/2006/main" count="55" uniqueCount="53">
  <si>
    <t xml:space="preserve">VEYN — BUSINESS HUB TEMPLATE</t>
  </si>
  <si>
    <t xml:space="preserve">Billing &amp; Insurer Tracker</t>
  </si>
  <si>
    <t xml:space="preserve">Log every self-pay and insurer invoice in one place, see what's outstanding at a glance, and total up billing activity without needing your PMS's own reporting.</t>
  </si>
  <si>
    <t xml:space="preserve">Fill in the blue cells on the Billing Log tab as invoices go out and payments come in. Everything else calculates itself — outstanding balance, days outstanding and status all update automatically.</t>
  </si>
  <si>
    <t xml:space="preserve">HOW TO READ THIS WORKBOOK</t>
  </si>
  <si>
    <t xml:space="preserve">Colour</t>
  </si>
  <si>
    <t xml:space="preserve">Meaning</t>
  </si>
  <si>
    <t xml:space="preserve">Blue text</t>
  </si>
  <si>
    <t xml:space="preserve">Type into this cell — it won't overwrite a formula</t>
  </si>
  <si>
    <t xml:space="preserve">Black text</t>
  </si>
  <si>
    <t xml:space="preserve">Calculated automatically — leave alone</t>
  </si>
  <si>
    <t xml:space="preserve">Gold row</t>
  </si>
  <si>
    <t xml:space="preserve">Unpaid or partially paid</t>
  </si>
  <si>
    <t xml:space="preserve">Green row</t>
  </si>
  <si>
    <t xml:space="preserve">Paid in full</t>
  </si>
  <si>
    <t xml:space="preserve">This template is general guidance, not financial, tax or legal advice — check figures relevant to your own situation.</t>
  </si>
  <si>
    <t xml:space="preserve">Privacy note: use patient initials or an internal reference number in these trackers, never full identifying details, in line with GDPR good practice.</t>
  </si>
  <si>
    <t xml:space="preserve">Billing Log</t>
  </si>
  <si>
    <t xml:space="preserve">One row per invoice · totals on the Summary tab</t>
  </si>
  <si>
    <t xml:space="preserve">Date Invoiced</t>
  </si>
  <si>
    <t xml:space="preserve">Patient Ref</t>
  </si>
  <si>
    <t xml:space="preserve">Consultant</t>
  </si>
  <si>
    <t xml:space="preserve">Procedure / CCSD Code</t>
  </si>
  <si>
    <t xml:space="preserve">Payer Type</t>
  </si>
  <si>
    <t xml:space="preserve">Insurer</t>
  </si>
  <si>
    <t xml:space="preserve">Invoice Amount (£)</t>
  </si>
  <si>
    <t xml:space="preserve">Amount Received (£)</t>
  </si>
  <si>
    <t xml:space="preserve">Outstanding (£)</t>
  </si>
  <si>
    <t xml:space="preserve">Status</t>
  </si>
  <si>
    <t xml:space="preserve">Date Paid / Remitted</t>
  </si>
  <si>
    <t xml:space="preserve">Days Outstanding</t>
  </si>
  <si>
    <t xml:space="preserve">Notes</t>
  </si>
  <si>
    <t xml:space="preserve">Billing Summary</t>
  </si>
  <si>
    <t xml:space="preserve">Updates automatically from the Billing Log tab</t>
  </si>
  <si>
    <t xml:space="preserve">Totals</t>
  </si>
  <si>
    <t xml:space="preserve">Total Invoiced</t>
  </si>
  <si>
    <t xml:space="preserve">Total Received</t>
  </si>
  <si>
    <t xml:space="preserve">Total Outstanding</t>
  </si>
  <si>
    <t xml:space="preserve">Invoices Logged</t>
  </si>
  <si>
    <t xml:space="preserve">Unpaid Count</t>
  </si>
  <si>
    <t xml:space="preserve">Partial Count</t>
  </si>
  <si>
    <t xml:space="preserve">Paid Count</t>
  </si>
  <si>
    <t xml:space="preserve">By Insurer</t>
  </si>
  <si>
    <t xml:space="preserve">Total Invoiced (£)</t>
  </si>
  <si>
    <t xml:space="preserve">Total Received (£)</t>
  </si>
  <si>
    <t xml:space="preserve">Self-Pay</t>
  </si>
  <si>
    <t xml:space="preserve">Bupa</t>
  </si>
  <si>
    <t xml:space="preserve">AXA Health</t>
  </si>
  <si>
    <t xml:space="preserve">Vitality</t>
  </si>
  <si>
    <t xml:space="preserve">Aviva</t>
  </si>
  <si>
    <t xml:space="preserve">WPA</t>
  </si>
  <si>
    <t xml:space="preserve">Healix</t>
  </si>
  <si>
    <t xml:space="preserve">Other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</si>
</sst>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\£#,##0.00;&quot;(£&quot;#,##0.00\);\-"/>
    <numFmt numFmtId="167" formatCode="\£#,##0.00"/>
    <numFmt numFmtId="168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B8924A"/>
      <name val="Consolas"/>
      <family val="0"/>
      <charset val="1"/>
    </font>
    <font>
      <b val="true"/>
      <sz val="20"/>
      <color rgb="FF1B2430"/>
      <name val="Cambria"/>
      <family val="0"/>
      <charset val="1"/>
    </font>
    <font>
      <sz val="11"/>
      <color rgb="FF5C6470"/>
      <name val="Calibri"/>
      <family val="0"/>
      <charset val="1"/>
    </font>
    <font>
      <b val="true"/>
      <sz val="10"/>
      <color rgb="FF1B2430"/>
      <name val="Calibri"/>
      <family val="0"/>
      <charset val="1"/>
    </font>
    <font>
      <sz val="10"/>
      <color rgb="FF5C6470"/>
      <name val="Calibri"/>
      <family val="0"/>
      <charset val="1"/>
    </font>
    <font>
      <i val="true"/>
      <sz val="9"/>
      <color rgb="FF5C6470"/>
      <name val="Calibri"/>
      <family val="0"/>
      <charset val="1"/>
    </font>
    <font>
      <b val="true"/>
      <sz val="15"/>
      <color rgb="FF1B2430"/>
      <name val="Cambria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1F3B8C"/>
      <name val="Calibri"/>
      <family val="0"/>
      <charset val="1"/>
    </font>
    <font>
      <sz val="10"/>
      <color rgb="FF1B2430"/>
      <name val="Calibri"/>
      <family val="0"/>
      <charset val="1"/>
    </font>
    <font>
      <b val="true"/>
      <sz val="11"/>
      <color rgb="FF1B243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1E4C8"/>
        <bgColor rgb="FFDCE8DF"/>
      </patternFill>
    </fill>
    <fill>
      <patternFill patternType="solid">
        <fgColor rgb="FFFFFFFF"/>
        <bgColor rgb="FFCCFFFF"/>
      </patternFill>
    </fill>
    <fill>
      <patternFill patternType="solid">
        <fgColor rgb="FFDCE8DF"/>
        <bgColor rgb="FFF1E4C8"/>
      </patternFill>
    </fill>
    <fill>
      <patternFill patternType="solid">
        <fgColor rgb="FF1B2430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3C6"/>
      </left>
      <right style="thin">
        <color rgb="FFD8D3C6"/>
      </right>
      <top style="thin">
        <color rgb="FFD8D3C6"/>
      </top>
      <bottom style="thin">
        <color rgb="FFD8D3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DCE8DF"/>
        </patternFill>
      </fill>
    </dxf>
    <dxf>
      <fill>
        <patternFill>
          <bgColor rgb="FFF1E4C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3C6"/>
      <rgbColor rgb="FF808080"/>
      <rgbColor rgb="FF9999FF"/>
      <rgbColor rgb="FF993366"/>
      <rgbColor rgb="FFF1E4C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8DF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6470"/>
      <rgbColor rgb="FFB8924A"/>
      <rgbColor rgb="FF003366"/>
      <rgbColor rgb="FF339966"/>
      <rgbColor rgb="FF003300"/>
      <rgbColor rgb="FF333300"/>
      <rgbColor rgb="FF993300"/>
      <rgbColor rgb="FF993366"/>
      <rgbColor rgb="FF1F3B8C"/>
      <rgbColor rgb="FF1B24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430"/>
    <pageSetUpPr fitToPage="false"/>
  </sheetPr>
  <dimension ref="B2:C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62"/>
  </cols>
  <sheetData>
    <row r="2" customFormat="false" ht="15" hidden="false" customHeight="false" outlineLevel="0" collapsed="false">
      <c r="B2" s="1" t="s">
        <v>0</v>
      </c>
    </row>
    <row r="3" customFormat="false" ht="30" hidden="false" customHeight="true" outlineLevel="0" collapsed="false">
      <c r="B3" s="2" t="s">
        <v>1</v>
      </c>
    </row>
    <row r="5" customFormat="false" ht="30" hidden="false" customHeight="true" outlineLevel="0" collapsed="false">
      <c r="B5" s="3" t="s">
        <v>2</v>
      </c>
      <c r="C5" s="3"/>
    </row>
    <row r="6" customFormat="false" ht="30" hidden="false" customHeight="true" outlineLevel="0" collapsed="false">
      <c r="B6" s="3" t="s">
        <v>3</v>
      </c>
      <c r="C6" s="3"/>
    </row>
    <row r="8" customFormat="false" ht="15" hidden="false" customHeight="false" outlineLevel="0" collapsed="false">
      <c r="B8" s="1" t="s">
        <v>4</v>
      </c>
    </row>
    <row r="9" customFormat="false" ht="15" hidden="false" customHeight="false" outlineLevel="0" collapsed="false">
      <c r="B9" s="4" t="s">
        <v>5</v>
      </c>
      <c r="C9" s="4" t="s">
        <v>6</v>
      </c>
    </row>
    <row r="10" customFormat="false" ht="21.75" hidden="false" customHeight="true" outlineLevel="0" collapsed="false">
      <c r="B10" s="5" t="s">
        <v>7</v>
      </c>
      <c r="C10" s="6" t="s">
        <v>8</v>
      </c>
    </row>
    <row r="11" customFormat="false" ht="21.75" hidden="false" customHeight="true" outlineLevel="0" collapsed="false">
      <c r="B11" s="7" t="s">
        <v>9</v>
      </c>
      <c r="C11" s="6" t="s">
        <v>10</v>
      </c>
    </row>
    <row r="12" customFormat="false" ht="21.75" hidden="false" customHeight="true" outlineLevel="0" collapsed="false">
      <c r="B12" s="5" t="s">
        <v>11</v>
      </c>
      <c r="C12" s="6" t="s">
        <v>12</v>
      </c>
    </row>
    <row r="13" customFormat="false" ht="21.75" hidden="false" customHeight="true" outlineLevel="0" collapsed="false">
      <c r="B13" s="8" t="s">
        <v>13</v>
      </c>
      <c r="C13" s="6" t="s">
        <v>14</v>
      </c>
    </row>
    <row r="15" customFormat="false" ht="25.5" hidden="false" customHeight="true" outlineLevel="0" collapsed="false">
      <c r="B15" s="9" t="s">
        <v>15</v>
      </c>
      <c r="C15" s="9"/>
    </row>
    <row r="17" customFormat="false" ht="25.5" hidden="false" customHeight="true" outlineLevel="0" collapsed="false">
      <c r="B17" s="9" t="s">
        <v>16</v>
      </c>
      <c r="C17" s="9"/>
    </row>
  </sheetData>
  <mergeCells count="4">
    <mergeCell ref="B5:C5"/>
    <mergeCell ref="B6:C6"/>
    <mergeCell ref="B15:C15"/>
    <mergeCell ref="B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8" min="7" style="0" width="16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3" min="13" style="0" width="26"/>
  </cols>
  <sheetData>
    <row r="1" customFormat="false" ht="24" hidden="false" customHeight="true" outlineLevel="0" collapsed="false">
      <c r="A1" s="10" t="s">
        <v>17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customFormat="false" ht="15.75" hidden="false" customHeight="true" outlineLevel="0" collapsed="false">
      <c r="A2" s="9" t="s">
        <v>18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4" customFormat="false" ht="31.5" hidden="false" customHeight="true" outlineLevel="0" collapsed="false">
      <c r="A4" s="11" t="s">
        <v>19</v>
      </c>
      <c r="B4" s="11" t="s">
        <v>20</v>
      </c>
      <c r="C4" s="11" t="s">
        <v>21</v>
      </c>
      <c r="D4" s="11" t="s">
        <v>22</v>
      </c>
      <c r="E4" s="11" t="s">
        <v>23</v>
      </c>
      <c r="F4" s="11" t="s">
        <v>24</v>
      </c>
      <c r="G4" s="11" t="s">
        <v>25</v>
      </c>
      <c r="H4" s="11" t="s">
        <v>26</v>
      </c>
      <c r="I4" s="11" t="s">
        <v>27</v>
      </c>
      <c r="J4" s="11" t="s">
        <v>28</v>
      </c>
      <c r="K4" s="11" t="s">
        <v>29</v>
      </c>
      <c r="L4" s="11" t="s">
        <v>30</v>
      </c>
      <c r="M4" s="11" t="s">
        <v>31</v>
      </c>
    </row>
    <row r="5" customFormat="false" ht="15" hidden="false" customHeight="false" outlineLevel="0" collapsed="false">
      <c r="A5" s="12"/>
      <c r="B5" s="13"/>
      <c r="C5" s="13"/>
      <c r="D5" s="13"/>
      <c r="E5" s="13"/>
      <c r="F5" s="13"/>
      <c r="G5" s="14"/>
      <c r="H5" s="14"/>
      <c r="I5" s="15" t="str">
        <f aca="false">IF(G5="","",G5-H5)</f>
        <v/>
      </c>
      <c r="J5" s="16" t="str">
        <f aca="false">IF(G5="","",IF(H5=0,"Unpaid",IF(H5&lt;G5,"Partial","Paid")))</f>
        <v/>
      </c>
      <c r="K5" s="12"/>
      <c r="L5" s="16" t="str">
        <f aca="true">IF(OR(G5="",J5="Paid"),"",TODAY()-A5)</f>
        <v/>
      </c>
      <c r="M5" s="13"/>
    </row>
    <row r="6" customFormat="false" ht="15" hidden="false" customHeight="false" outlineLevel="0" collapsed="false">
      <c r="A6" s="12"/>
      <c r="B6" s="13"/>
      <c r="C6" s="13"/>
      <c r="D6" s="13"/>
      <c r="E6" s="13"/>
      <c r="F6" s="13"/>
      <c r="G6" s="14"/>
      <c r="H6" s="14"/>
      <c r="I6" s="15" t="str">
        <f aca="false">IF(G6="","",G6-H6)</f>
        <v/>
      </c>
      <c r="J6" s="16" t="str">
        <f aca="false">IF(G6="","",IF(H6=0,"Unpaid",IF(H6&lt;G6,"Partial","Paid")))</f>
        <v/>
      </c>
      <c r="K6" s="12"/>
      <c r="L6" s="16" t="str">
        <f aca="true">IF(OR(G6="",J6="Paid"),"",TODAY()-A6)</f>
        <v/>
      </c>
      <c r="M6" s="13"/>
    </row>
    <row r="7" customFormat="false" ht="15" hidden="false" customHeight="false" outlineLevel="0" collapsed="false">
      <c r="A7" s="12"/>
      <c r="B7" s="13"/>
      <c r="C7" s="13"/>
      <c r="D7" s="13"/>
      <c r="E7" s="13"/>
      <c r="F7" s="13"/>
      <c r="G7" s="14"/>
      <c r="H7" s="14"/>
      <c r="I7" s="15" t="str">
        <f aca="false">IF(G7="","",G7-H7)</f>
        <v/>
      </c>
      <c r="J7" s="16" t="str">
        <f aca="false">IF(G7="","",IF(H7=0,"Unpaid",IF(H7&lt;G7,"Partial","Paid")))</f>
        <v/>
      </c>
      <c r="K7" s="12"/>
      <c r="L7" s="16" t="str">
        <f aca="true">IF(OR(G7="",J7="Paid"),"",TODAY()-A7)</f>
        <v/>
      </c>
      <c r="M7" s="13"/>
    </row>
    <row r="8" customFormat="false" ht="15" hidden="false" customHeight="false" outlineLevel="0" collapsed="false">
      <c r="A8" s="12"/>
      <c r="B8" s="13"/>
      <c r="C8" s="13"/>
      <c r="D8" s="13"/>
      <c r="E8" s="13"/>
      <c r="F8" s="13"/>
      <c r="G8" s="14"/>
      <c r="H8" s="14"/>
      <c r="I8" s="15" t="str">
        <f aca="false">IF(G8="","",G8-H8)</f>
        <v/>
      </c>
      <c r="J8" s="16" t="str">
        <f aca="false">IF(G8="","",IF(H8=0,"Unpaid",IF(H8&lt;G8,"Partial","Paid")))</f>
        <v/>
      </c>
      <c r="K8" s="12"/>
      <c r="L8" s="16" t="str">
        <f aca="true">IF(OR(G8="",J8="Paid"),"",TODAY()-A8)</f>
        <v/>
      </c>
      <c r="M8" s="13"/>
    </row>
    <row r="9" customFormat="false" ht="15" hidden="false" customHeight="false" outlineLevel="0" collapsed="false">
      <c r="A9" s="12"/>
      <c r="B9" s="13"/>
      <c r="C9" s="13"/>
      <c r="D9" s="13"/>
      <c r="E9" s="13"/>
      <c r="F9" s="13"/>
      <c r="G9" s="14"/>
      <c r="H9" s="14"/>
      <c r="I9" s="15" t="str">
        <f aca="false">IF(G9="","",G9-H9)</f>
        <v/>
      </c>
      <c r="J9" s="16" t="str">
        <f aca="false">IF(G9="","",IF(H9=0,"Unpaid",IF(H9&lt;G9,"Partial","Paid")))</f>
        <v/>
      </c>
      <c r="K9" s="12"/>
      <c r="L9" s="16" t="str">
        <f aca="true">IF(OR(G9="",J9="Paid"),"",TODAY()-A9)</f>
        <v/>
      </c>
      <c r="M9" s="13"/>
    </row>
    <row r="10" customFormat="false" ht="15" hidden="false" customHeight="false" outlineLevel="0" collapsed="false">
      <c r="A10" s="12"/>
      <c r="B10" s="13"/>
      <c r="C10" s="13"/>
      <c r="D10" s="13"/>
      <c r="E10" s="13"/>
      <c r="F10" s="13"/>
      <c r="G10" s="14"/>
      <c r="H10" s="14"/>
      <c r="I10" s="15" t="str">
        <f aca="false">IF(G10="","",G10-H10)</f>
        <v/>
      </c>
      <c r="J10" s="16" t="str">
        <f aca="false">IF(G10="","",IF(H10=0,"Unpaid",IF(H10&lt;G10,"Partial","Paid")))</f>
        <v/>
      </c>
      <c r="K10" s="12"/>
      <c r="L10" s="16" t="str">
        <f aca="true">IF(OR(G10="",J10="Paid"),"",TODAY()-A10)</f>
        <v/>
      </c>
      <c r="M10" s="13"/>
    </row>
    <row r="11" customFormat="false" ht="15" hidden="false" customHeight="false" outlineLevel="0" collapsed="false">
      <c r="A11" s="12"/>
      <c r="B11" s="13"/>
      <c r="C11" s="13"/>
      <c r="D11" s="13"/>
      <c r="E11" s="13"/>
      <c r="F11" s="13"/>
      <c r="G11" s="14"/>
      <c r="H11" s="14"/>
      <c r="I11" s="15" t="str">
        <f aca="false">IF(G11="","",G11-H11)</f>
        <v/>
      </c>
      <c r="J11" s="16" t="str">
        <f aca="false">IF(G11="","",IF(H11=0,"Unpaid",IF(H11&lt;G11,"Partial","Paid")))</f>
        <v/>
      </c>
      <c r="K11" s="12"/>
      <c r="L11" s="16" t="str">
        <f aca="true">IF(OR(G11="",J11="Paid"),"",TODAY()-A11)</f>
        <v/>
      </c>
      <c r="M11" s="13"/>
    </row>
    <row r="12" customFormat="false" ht="15" hidden="false" customHeight="false" outlineLevel="0" collapsed="false">
      <c r="A12" s="12"/>
      <c r="B12" s="13"/>
      <c r="C12" s="13"/>
      <c r="D12" s="13"/>
      <c r="E12" s="13"/>
      <c r="F12" s="13"/>
      <c r="G12" s="14"/>
      <c r="H12" s="14"/>
      <c r="I12" s="15" t="str">
        <f aca="false">IF(G12="","",G12-H12)</f>
        <v/>
      </c>
      <c r="J12" s="16" t="str">
        <f aca="false">IF(G12="","",IF(H12=0,"Unpaid",IF(H12&lt;G12,"Partial","Paid")))</f>
        <v/>
      </c>
      <c r="K12" s="12"/>
      <c r="L12" s="16" t="str">
        <f aca="true">IF(OR(G12="",J12="Paid"),"",TODAY()-A12)</f>
        <v/>
      </c>
      <c r="M12" s="13"/>
    </row>
    <row r="13" customFormat="false" ht="15" hidden="false" customHeight="false" outlineLevel="0" collapsed="false">
      <c r="A13" s="12"/>
      <c r="B13" s="13"/>
      <c r="C13" s="13"/>
      <c r="D13" s="13"/>
      <c r="E13" s="13"/>
      <c r="F13" s="13"/>
      <c r="G13" s="14"/>
      <c r="H13" s="14"/>
      <c r="I13" s="15" t="str">
        <f aca="false">IF(G13="","",G13-H13)</f>
        <v/>
      </c>
      <c r="J13" s="16" t="str">
        <f aca="false">IF(G13="","",IF(H13=0,"Unpaid",IF(H13&lt;G13,"Partial","Paid")))</f>
        <v/>
      </c>
      <c r="K13" s="12"/>
      <c r="L13" s="16" t="str">
        <f aca="true">IF(OR(G13="",J13="Paid"),"",TODAY()-A13)</f>
        <v/>
      </c>
      <c r="M13" s="13"/>
    </row>
    <row r="14" customFormat="false" ht="15" hidden="false" customHeight="false" outlineLevel="0" collapsed="false">
      <c r="A14" s="12"/>
      <c r="B14" s="13"/>
      <c r="C14" s="13"/>
      <c r="D14" s="13"/>
      <c r="E14" s="13"/>
      <c r="F14" s="13"/>
      <c r="G14" s="14"/>
      <c r="H14" s="14"/>
      <c r="I14" s="15" t="str">
        <f aca="false">IF(G14="","",G14-H14)</f>
        <v/>
      </c>
      <c r="J14" s="16" t="str">
        <f aca="false">IF(G14="","",IF(H14=0,"Unpaid",IF(H14&lt;G14,"Partial","Paid")))</f>
        <v/>
      </c>
      <c r="K14" s="12"/>
      <c r="L14" s="16" t="str">
        <f aca="true">IF(OR(G14="",J14="Paid"),"",TODAY()-A14)</f>
        <v/>
      </c>
      <c r="M14" s="13"/>
    </row>
    <row r="15" customFormat="false" ht="15" hidden="false" customHeight="false" outlineLevel="0" collapsed="false">
      <c r="A15" s="12"/>
      <c r="B15" s="13"/>
      <c r="C15" s="13"/>
      <c r="D15" s="13"/>
      <c r="E15" s="13"/>
      <c r="F15" s="13"/>
      <c r="G15" s="14"/>
      <c r="H15" s="14"/>
      <c r="I15" s="15" t="str">
        <f aca="false">IF(G15="","",G15-H15)</f>
        <v/>
      </c>
      <c r="J15" s="16" t="str">
        <f aca="false">IF(G15="","",IF(H15=0,"Unpaid",IF(H15&lt;G15,"Partial","Paid")))</f>
        <v/>
      </c>
      <c r="K15" s="12"/>
      <c r="L15" s="16" t="str">
        <f aca="true">IF(OR(G15="",J15="Paid"),"",TODAY()-A15)</f>
        <v/>
      </c>
      <c r="M15" s="13"/>
    </row>
    <row r="16" customFormat="false" ht="15" hidden="false" customHeight="false" outlineLevel="0" collapsed="false">
      <c r="A16" s="12"/>
      <c r="B16" s="13"/>
      <c r="C16" s="13"/>
      <c r="D16" s="13"/>
      <c r="E16" s="13"/>
      <c r="F16" s="13"/>
      <c r="G16" s="14"/>
      <c r="H16" s="14"/>
      <c r="I16" s="15" t="str">
        <f aca="false">IF(G16="","",G16-H16)</f>
        <v/>
      </c>
      <c r="J16" s="16" t="str">
        <f aca="false">IF(G16="","",IF(H16=0,"Unpaid",IF(H16&lt;G16,"Partial","Paid")))</f>
        <v/>
      </c>
      <c r="K16" s="12"/>
      <c r="L16" s="16" t="str">
        <f aca="true">IF(OR(G16="",J16="Paid"),"",TODAY()-A16)</f>
        <v/>
      </c>
      <c r="M16" s="13"/>
    </row>
    <row r="17" customFormat="false" ht="15" hidden="false" customHeight="false" outlineLevel="0" collapsed="false">
      <c r="A17" s="12"/>
      <c r="B17" s="13"/>
      <c r="C17" s="13"/>
      <c r="D17" s="13"/>
      <c r="E17" s="13"/>
      <c r="F17" s="13"/>
      <c r="G17" s="14"/>
      <c r="H17" s="14"/>
      <c r="I17" s="15" t="str">
        <f aca="false">IF(G17="","",G17-H17)</f>
        <v/>
      </c>
      <c r="J17" s="16" t="str">
        <f aca="false">IF(G17="","",IF(H17=0,"Unpaid",IF(H17&lt;G17,"Partial","Paid")))</f>
        <v/>
      </c>
      <c r="K17" s="12"/>
      <c r="L17" s="16" t="str">
        <f aca="true">IF(OR(G17="",J17="Paid"),"",TODAY()-A17)</f>
        <v/>
      </c>
      <c r="M17" s="13"/>
    </row>
    <row r="18" customFormat="false" ht="15" hidden="false" customHeight="false" outlineLevel="0" collapsed="false">
      <c r="A18" s="12"/>
      <c r="B18" s="13"/>
      <c r="C18" s="13"/>
      <c r="D18" s="13"/>
      <c r="E18" s="13"/>
      <c r="F18" s="13"/>
      <c r="G18" s="14"/>
      <c r="H18" s="14"/>
      <c r="I18" s="15" t="str">
        <f aca="false">IF(G18="","",G18-H18)</f>
        <v/>
      </c>
      <c r="J18" s="16" t="str">
        <f aca="false">IF(G18="","",IF(H18=0,"Unpaid",IF(H18&lt;G18,"Partial","Paid")))</f>
        <v/>
      </c>
      <c r="K18" s="12"/>
      <c r="L18" s="16" t="str">
        <f aca="true">IF(OR(G18="",J18="Paid"),"",TODAY()-A18)</f>
        <v/>
      </c>
      <c r="M18" s="13"/>
    </row>
    <row r="19" customFormat="false" ht="15" hidden="false" customHeight="false" outlineLevel="0" collapsed="false">
      <c r="A19" s="12"/>
      <c r="B19" s="13"/>
      <c r="C19" s="13"/>
      <c r="D19" s="13"/>
      <c r="E19" s="13"/>
      <c r="F19" s="13"/>
      <c r="G19" s="14"/>
      <c r="H19" s="14"/>
      <c r="I19" s="15" t="str">
        <f aca="false">IF(G19="","",G19-H19)</f>
        <v/>
      </c>
      <c r="J19" s="16" t="str">
        <f aca="false">IF(G19="","",IF(H19=0,"Unpaid",IF(H19&lt;G19,"Partial","Paid")))</f>
        <v/>
      </c>
      <c r="K19" s="12"/>
      <c r="L19" s="16" t="str">
        <f aca="true">IF(OR(G19="",J19="Paid"),"",TODAY()-A19)</f>
        <v/>
      </c>
      <c r="M19" s="13"/>
    </row>
    <row r="20" customFormat="false" ht="15" hidden="false" customHeight="false" outlineLevel="0" collapsed="false">
      <c r="A20" s="12"/>
      <c r="B20" s="13"/>
      <c r="C20" s="13"/>
      <c r="D20" s="13"/>
      <c r="E20" s="13"/>
      <c r="F20" s="13"/>
      <c r="G20" s="14"/>
      <c r="H20" s="14"/>
      <c r="I20" s="15" t="str">
        <f aca="false">IF(G20="","",G20-H20)</f>
        <v/>
      </c>
      <c r="J20" s="16" t="str">
        <f aca="false">IF(G20="","",IF(H20=0,"Unpaid",IF(H20&lt;G20,"Partial","Paid")))</f>
        <v/>
      </c>
      <c r="K20" s="12"/>
      <c r="L20" s="16" t="str">
        <f aca="true">IF(OR(G20="",J20="Paid"),"",TODAY()-A20)</f>
        <v/>
      </c>
      <c r="M20" s="13"/>
    </row>
    <row r="21" customFormat="false" ht="15" hidden="false" customHeight="false" outlineLevel="0" collapsed="false">
      <c r="A21" s="12"/>
      <c r="B21" s="13"/>
      <c r="C21" s="13"/>
      <c r="D21" s="13"/>
      <c r="E21" s="13"/>
      <c r="F21" s="13"/>
      <c r="G21" s="14"/>
      <c r="H21" s="14"/>
      <c r="I21" s="15" t="str">
        <f aca="false">IF(G21="","",G21-H21)</f>
        <v/>
      </c>
      <c r="J21" s="16" t="str">
        <f aca="false">IF(G21="","",IF(H21=0,"Unpaid",IF(H21&lt;G21,"Partial","Paid")))</f>
        <v/>
      </c>
      <c r="K21" s="12"/>
      <c r="L21" s="16" t="str">
        <f aca="true">IF(OR(G21="",J21="Paid"),"",TODAY()-A21)</f>
        <v/>
      </c>
      <c r="M21" s="13"/>
    </row>
    <row r="22" customFormat="false" ht="15" hidden="false" customHeight="false" outlineLevel="0" collapsed="false">
      <c r="A22" s="12"/>
      <c r="B22" s="13"/>
      <c r="C22" s="13"/>
      <c r="D22" s="13"/>
      <c r="E22" s="13"/>
      <c r="F22" s="13"/>
      <c r="G22" s="14"/>
      <c r="H22" s="14"/>
      <c r="I22" s="15" t="str">
        <f aca="false">IF(G22="","",G22-H22)</f>
        <v/>
      </c>
      <c r="J22" s="16" t="str">
        <f aca="false">IF(G22="","",IF(H22=0,"Unpaid",IF(H22&lt;G22,"Partial","Paid")))</f>
        <v/>
      </c>
      <c r="K22" s="12"/>
      <c r="L22" s="16" t="str">
        <f aca="true">IF(OR(G22="",J22="Paid"),"",TODAY()-A22)</f>
        <v/>
      </c>
      <c r="M22" s="13"/>
    </row>
    <row r="23" customFormat="false" ht="15" hidden="false" customHeight="false" outlineLevel="0" collapsed="false">
      <c r="A23" s="12"/>
      <c r="B23" s="13"/>
      <c r="C23" s="13"/>
      <c r="D23" s="13"/>
      <c r="E23" s="13"/>
      <c r="F23" s="13"/>
      <c r="G23" s="14"/>
      <c r="H23" s="14"/>
      <c r="I23" s="15" t="str">
        <f aca="false">IF(G23="","",G23-H23)</f>
        <v/>
      </c>
      <c r="J23" s="16" t="str">
        <f aca="false">IF(G23="","",IF(H23=0,"Unpaid",IF(H23&lt;G23,"Partial","Paid")))</f>
        <v/>
      </c>
      <c r="K23" s="12"/>
      <c r="L23" s="16" t="str">
        <f aca="true">IF(OR(G23="",J23="Paid"),"",TODAY()-A23)</f>
        <v/>
      </c>
      <c r="M23" s="13"/>
    </row>
    <row r="24" customFormat="false" ht="15" hidden="false" customHeight="false" outlineLevel="0" collapsed="false">
      <c r="A24" s="12"/>
      <c r="B24" s="13"/>
      <c r="C24" s="13"/>
      <c r="D24" s="13"/>
      <c r="E24" s="13"/>
      <c r="F24" s="13"/>
      <c r="G24" s="14"/>
      <c r="H24" s="14"/>
      <c r="I24" s="15" t="str">
        <f aca="false">IF(G24="","",G24-H24)</f>
        <v/>
      </c>
      <c r="J24" s="16" t="str">
        <f aca="false">IF(G24="","",IF(H24=0,"Unpaid",IF(H24&lt;G24,"Partial","Paid")))</f>
        <v/>
      </c>
      <c r="K24" s="12"/>
      <c r="L24" s="16" t="str">
        <f aca="true">IF(OR(G24="",J24="Paid"),"",TODAY()-A24)</f>
        <v/>
      </c>
      <c r="M24" s="13"/>
    </row>
    <row r="25" customFormat="false" ht="15" hidden="false" customHeight="false" outlineLevel="0" collapsed="false">
      <c r="A25" s="12"/>
      <c r="B25" s="13"/>
      <c r="C25" s="13"/>
      <c r="D25" s="13"/>
      <c r="E25" s="13"/>
      <c r="F25" s="13"/>
      <c r="G25" s="14"/>
      <c r="H25" s="14"/>
      <c r="I25" s="15" t="str">
        <f aca="false">IF(G25="","",G25-H25)</f>
        <v/>
      </c>
      <c r="J25" s="16" t="str">
        <f aca="false">IF(G25="","",IF(H25=0,"Unpaid",IF(H25&lt;G25,"Partial","Paid")))</f>
        <v/>
      </c>
      <c r="K25" s="12"/>
      <c r="L25" s="16" t="str">
        <f aca="true">IF(OR(G25="",J25="Paid"),"",TODAY()-A25)</f>
        <v/>
      </c>
      <c r="M25" s="13"/>
    </row>
    <row r="26" customFormat="false" ht="15" hidden="false" customHeight="false" outlineLevel="0" collapsed="false">
      <c r="A26" s="12"/>
      <c r="B26" s="13"/>
      <c r="C26" s="13"/>
      <c r="D26" s="13"/>
      <c r="E26" s="13"/>
      <c r="F26" s="13"/>
      <c r="G26" s="14"/>
      <c r="H26" s="14"/>
      <c r="I26" s="15" t="str">
        <f aca="false">IF(G26="","",G26-H26)</f>
        <v/>
      </c>
      <c r="J26" s="16" t="str">
        <f aca="false">IF(G26="","",IF(H26=0,"Unpaid",IF(H26&lt;G26,"Partial","Paid")))</f>
        <v/>
      </c>
      <c r="K26" s="12"/>
      <c r="L26" s="16" t="str">
        <f aca="true">IF(OR(G26="",J26="Paid"),"",TODAY()-A26)</f>
        <v/>
      </c>
      <c r="M26" s="13"/>
    </row>
    <row r="27" customFormat="false" ht="15" hidden="false" customHeight="false" outlineLevel="0" collapsed="false">
      <c r="A27" s="12"/>
      <c r="B27" s="13"/>
      <c r="C27" s="13"/>
      <c r="D27" s="13"/>
      <c r="E27" s="13"/>
      <c r="F27" s="13"/>
      <c r="G27" s="14"/>
      <c r="H27" s="14"/>
      <c r="I27" s="15" t="str">
        <f aca="false">IF(G27="","",G27-H27)</f>
        <v/>
      </c>
      <c r="J27" s="16" t="str">
        <f aca="false">IF(G27="","",IF(H27=0,"Unpaid",IF(H27&lt;G27,"Partial","Paid")))</f>
        <v/>
      </c>
      <c r="K27" s="12"/>
      <c r="L27" s="16" t="str">
        <f aca="true">IF(OR(G27="",J27="Paid"),"",TODAY()-A27)</f>
        <v/>
      </c>
      <c r="M27" s="13"/>
    </row>
    <row r="28" customFormat="false" ht="15" hidden="false" customHeight="false" outlineLevel="0" collapsed="false">
      <c r="A28" s="12"/>
      <c r="B28" s="13"/>
      <c r="C28" s="13"/>
      <c r="D28" s="13"/>
      <c r="E28" s="13"/>
      <c r="F28" s="13"/>
      <c r="G28" s="14"/>
      <c r="H28" s="14"/>
      <c r="I28" s="15" t="str">
        <f aca="false">IF(G28="","",G28-H28)</f>
        <v/>
      </c>
      <c r="J28" s="16" t="str">
        <f aca="false">IF(G28="","",IF(H28=0,"Unpaid",IF(H28&lt;G28,"Partial","Paid")))</f>
        <v/>
      </c>
      <c r="K28" s="12"/>
      <c r="L28" s="16" t="str">
        <f aca="true">IF(OR(G28="",J28="Paid"),"",TODAY()-A28)</f>
        <v/>
      </c>
      <c r="M28" s="13"/>
    </row>
    <row r="29" customFormat="false" ht="15" hidden="false" customHeight="false" outlineLevel="0" collapsed="false">
      <c r="A29" s="12"/>
      <c r="B29" s="13"/>
      <c r="C29" s="13"/>
      <c r="D29" s="13"/>
      <c r="E29" s="13"/>
      <c r="F29" s="13"/>
      <c r="G29" s="14"/>
      <c r="H29" s="14"/>
      <c r="I29" s="15" t="str">
        <f aca="false">IF(G29="","",G29-H29)</f>
        <v/>
      </c>
      <c r="J29" s="16" t="str">
        <f aca="false">IF(G29="","",IF(H29=0,"Unpaid",IF(H29&lt;G29,"Partial","Paid")))</f>
        <v/>
      </c>
      <c r="K29" s="12"/>
      <c r="L29" s="16" t="str">
        <f aca="true">IF(OR(G29="",J29="Paid"),"",TODAY()-A29)</f>
        <v/>
      </c>
      <c r="M29" s="13"/>
    </row>
    <row r="30" customFormat="false" ht="15" hidden="false" customHeight="false" outlineLevel="0" collapsed="false">
      <c r="A30" s="12"/>
      <c r="B30" s="13"/>
      <c r="C30" s="13"/>
      <c r="D30" s="13"/>
      <c r="E30" s="13"/>
      <c r="F30" s="13"/>
      <c r="G30" s="14"/>
      <c r="H30" s="14"/>
      <c r="I30" s="15" t="str">
        <f aca="false">IF(G30="","",G30-H30)</f>
        <v/>
      </c>
      <c r="J30" s="16" t="str">
        <f aca="false">IF(G30="","",IF(H30=0,"Unpaid",IF(H30&lt;G30,"Partial","Paid")))</f>
        <v/>
      </c>
      <c r="K30" s="12"/>
      <c r="L30" s="16" t="str">
        <f aca="true">IF(OR(G30="",J30="Paid"),"",TODAY()-A30)</f>
        <v/>
      </c>
      <c r="M30" s="13"/>
    </row>
    <row r="31" customFormat="false" ht="15" hidden="false" customHeight="false" outlineLevel="0" collapsed="false">
      <c r="A31" s="12"/>
      <c r="B31" s="13"/>
      <c r="C31" s="13"/>
      <c r="D31" s="13"/>
      <c r="E31" s="13"/>
      <c r="F31" s="13"/>
      <c r="G31" s="14"/>
      <c r="H31" s="14"/>
      <c r="I31" s="15" t="str">
        <f aca="false">IF(G31="","",G31-H31)</f>
        <v/>
      </c>
      <c r="J31" s="16" t="str">
        <f aca="false">IF(G31="","",IF(H31=0,"Unpaid",IF(H31&lt;G31,"Partial","Paid")))</f>
        <v/>
      </c>
      <c r="K31" s="12"/>
      <c r="L31" s="16" t="str">
        <f aca="true">IF(OR(G31="",J31="Paid"),"",TODAY()-A31)</f>
        <v/>
      </c>
      <c r="M31" s="13"/>
    </row>
    <row r="32" customFormat="false" ht="15" hidden="false" customHeight="false" outlineLevel="0" collapsed="false">
      <c r="A32" s="12"/>
      <c r="B32" s="13"/>
      <c r="C32" s="13"/>
      <c r="D32" s="13"/>
      <c r="E32" s="13"/>
      <c r="F32" s="13"/>
      <c r="G32" s="14"/>
      <c r="H32" s="14"/>
      <c r="I32" s="15" t="str">
        <f aca="false">IF(G32="","",G32-H32)</f>
        <v/>
      </c>
      <c r="J32" s="16" t="str">
        <f aca="false">IF(G32="","",IF(H32=0,"Unpaid",IF(H32&lt;G32,"Partial","Paid")))</f>
        <v/>
      </c>
      <c r="K32" s="12"/>
      <c r="L32" s="16" t="str">
        <f aca="true">IF(OR(G32="",J32="Paid"),"",TODAY()-A32)</f>
        <v/>
      </c>
      <c r="M32" s="13"/>
    </row>
    <row r="33" customFormat="false" ht="15" hidden="false" customHeight="false" outlineLevel="0" collapsed="false">
      <c r="A33" s="12"/>
      <c r="B33" s="13"/>
      <c r="C33" s="13"/>
      <c r="D33" s="13"/>
      <c r="E33" s="13"/>
      <c r="F33" s="13"/>
      <c r="G33" s="14"/>
      <c r="H33" s="14"/>
      <c r="I33" s="15" t="str">
        <f aca="false">IF(G33="","",G33-H33)</f>
        <v/>
      </c>
      <c r="J33" s="16" t="str">
        <f aca="false">IF(G33="","",IF(H33=0,"Unpaid",IF(H33&lt;G33,"Partial","Paid")))</f>
        <v/>
      </c>
      <c r="K33" s="12"/>
      <c r="L33" s="16" t="str">
        <f aca="true">IF(OR(G33="",J33="Paid"),"",TODAY()-A33)</f>
        <v/>
      </c>
      <c r="M33" s="13"/>
    </row>
    <row r="34" customFormat="false" ht="15" hidden="false" customHeight="false" outlineLevel="0" collapsed="false">
      <c r="A34" s="12"/>
      <c r="B34" s="13"/>
      <c r="C34" s="13"/>
      <c r="D34" s="13"/>
      <c r="E34" s="13"/>
      <c r="F34" s="13"/>
      <c r="G34" s="14"/>
      <c r="H34" s="14"/>
      <c r="I34" s="15" t="str">
        <f aca="false">IF(G34="","",G34-H34)</f>
        <v/>
      </c>
      <c r="J34" s="16" t="str">
        <f aca="false">IF(G34="","",IF(H34=0,"Unpaid",IF(H34&lt;G34,"Partial","Paid")))</f>
        <v/>
      </c>
      <c r="K34" s="12"/>
      <c r="L34" s="16" t="str">
        <f aca="true">IF(OR(G34="",J34="Paid"),"",TODAY()-A34)</f>
        <v/>
      </c>
      <c r="M34" s="13"/>
    </row>
    <row r="35" customFormat="false" ht="15" hidden="false" customHeight="false" outlineLevel="0" collapsed="false">
      <c r="A35" s="12"/>
      <c r="B35" s="13"/>
      <c r="C35" s="13"/>
      <c r="D35" s="13"/>
      <c r="E35" s="13"/>
      <c r="F35" s="13"/>
      <c r="G35" s="14"/>
      <c r="H35" s="14"/>
      <c r="I35" s="15" t="str">
        <f aca="false">IF(G35="","",G35-H35)</f>
        <v/>
      </c>
      <c r="J35" s="16" t="str">
        <f aca="false">IF(G35="","",IF(H35=0,"Unpaid",IF(H35&lt;G35,"Partial","Paid")))</f>
        <v/>
      </c>
      <c r="K35" s="12"/>
      <c r="L35" s="16" t="str">
        <f aca="true">IF(OR(G35="",J35="Paid"),"",TODAY()-A35)</f>
        <v/>
      </c>
      <c r="M35" s="13"/>
    </row>
    <row r="36" customFormat="false" ht="15" hidden="false" customHeight="false" outlineLevel="0" collapsed="false">
      <c r="A36" s="12"/>
      <c r="B36" s="13"/>
      <c r="C36" s="13"/>
      <c r="D36" s="13"/>
      <c r="E36" s="13"/>
      <c r="F36" s="13"/>
      <c r="G36" s="14"/>
      <c r="H36" s="14"/>
      <c r="I36" s="15" t="str">
        <f aca="false">IF(G36="","",G36-H36)</f>
        <v/>
      </c>
      <c r="J36" s="16" t="str">
        <f aca="false">IF(G36="","",IF(H36=0,"Unpaid",IF(H36&lt;G36,"Partial","Paid")))</f>
        <v/>
      </c>
      <c r="K36" s="12"/>
      <c r="L36" s="16" t="str">
        <f aca="true">IF(OR(G36="",J36="Paid"),"",TODAY()-A36)</f>
        <v/>
      </c>
      <c r="M36" s="13"/>
    </row>
    <row r="37" customFormat="false" ht="15" hidden="false" customHeight="false" outlineLevel="0" collapsed="false">
      <c r="A37" s="12"/>
      <c r="B37" s="13"/>
      <c r="C37" s="13"/>
      <c r="D37" s="13"/>
      <c r="E37" s="13"/>
      <c r="F37" s="13"/>
      <c r="G37" s="14"/>
      <c r="H37" s="14"/>
      <c r="I37" s="15" t="str">
        <f aca="false">IF(G37="","",G37-H37)</f>
        <v/>
      </c>
      <c r="J37" s="16" t="str">
        <f aca="false">IF(G37="","",IF(H37=0,"Unpaid",IF(H37&lt;G37,"Partial","Paid")))</f>
        <v/>
      </c>
      <c r="K37" s="12"/>
      <c r="L37" s="16" t="str">
        <f aca="true">IF(OR(G37="",J37="Paid"),"",TODAY()-A37)</f>
        <v/>
      </c>
      <c r="M37" s="13"/>
    </row>
    <row r="38" customFormat="false" ht="15" hidden="false" customHeight="false" outlineLevel="0" collapsed="false">
      <c r="A38" s="12"/>
      <c r="B38" s="13"/>
      <c r="C38" s="13"/>
      <c r="D38" s="13"/>
      <c r="E38" s="13"/>
      <c r="F38" s="13"/>
      <c r="G38" s="14"/>
      <c r="H38" s="14"/>
      <c r="I38" s="15" t="str">
        <f aca="false">IF(G38="","",G38-H38)</f>
        <v/>
      </c>
      <c r="J38" s="16" t="str">
        <f aca="false">IF(G38="","",IF(H38=0,"Unpaid",IF(H38&lt;G38,"Partial","Paid")))</f>
        <v/>
      </c>
      <c r="K38" s="12"/>
      <c r="L38" s="16" t="str">
        <f aca="true">IF(OR(G38="",J38="Paid"),"",TODAY()-A38)</f>
        <v/>
      </c>
      <c r="M38" s="13"/>
    </row>
    <row r="39" customFormat="false" ht="15" hidden="false" customHeight="false" outlineLevel="0" collapsed="false">
      <c r="A39" s="12"/>
      <c r="B39" s="13"/>
      <c r="C39" s="13"/>
      <c r="D39" s="13"/>
      <c r="E39" s="13"/>
      <c r="F39" s="13"/>
      <c r="G39" s="14"/>
      <c r="H39" s="14"/>
      <c r="I39" s="15" t="str">
        <f aca="false">IF(G39="","",G39-H39)</f>
        <v/>
      </c>
      <c r="J39" s="16" t="str">
        <f aca="false">IF(G39="","",IF(H39=0,"Unpaid",IF(H39&lt;G39,"Partial","Paid")))</f>
        <v/>
      </c>
      <c r="K39" s="12"/>
      <c r="L39" s="16" t="str">
        <f aca="true">IF(OR(G39="",J39="Paid"),"",TODAY()-A39)</f>
        <v/>
      </c>
      <c r="M39" s="13"/>
    </row>
    <row r="40" customFormat="false" ht="15" hidden="false" customHeight="false" outlineLevel="0" collapsed="false">
      <c r="A40" s="12"/>
      <c r="B40" s="13"/>
      <c r="C40" s="13"/>
      <c r="D40" s="13"/>
      <c r="E40" s="13"/>
      <c r="F40" s="13"/>
      <c r="G40" s="14"/>
      <c r="H40" s="14"/>
      <c r="I40" s="15" t="str">
        <f aca="false">IF(G40="","",G40-H40)</f>
        <v/>
      </c>
      <c r="J40" s="16" t="str">
        <f aca="false">IF(G40="","",IF(H40=0,"Unpaid",IF(H40&lt;G40,"Partial","Paid")))</f>
        <v/>
      </c>
      <c r="K40" s="12"/>
      <c r="L40" s="16" t="str">
        <f aca="true">IF(OR(G40="",J40="Paid"),"",TODAY()-A40)</f>
        <v/>
      </c>
      <c r="M40" s="13"/>
    </row>
    <row r="41" customFormat="false" ht="15" hidden="false" customHeight="false" outlineLevel="0" collapsed="false">
      <c r="A41" s="12"/>
      <c r="B41" s="13"/>
      <c r="C41" s="13"/>
      <c r="D41" s="13"/>
      <c r="E41" s="13"/>
      <c r="F41" s="13"/>
      <c r="G41" s="14"/>
      <c r="H41" s="14"/>
      <c r="I41" s="15" t="str">
        <f aca="false">IF(G41="","",G41-H41)</f>
        <v/>
      </c>
      <c r="J41" s="16" t="str">
        <f aca="false">IF(G41="","",IF(H41=0,"Unpaid",IF(H41&lt;G41,"Partial","Paid")))</f>
        <v/>
      </c>
      <c r="K41" s="12"/>
      <c r="L41" s="16" t="str">
        <f aca="true">IF(OR(G41="",J41="Paid"),"",TODAY()-A41)</f>
        <v/>
      </c>
      <c r="M41" s="13"/>
    </row>
    <row r="42" customFormat="false" ht="15" hidden="false" customHeight="false" outlineLevel="0" collapsed="false">
      <c r="A42" s="12"/>
      <c r="B42" s="13"/>
      <c r="C42" s="13"/>
      <c r="D42" s="13"/>
      <c r="E42" s="13"/>
      <c r="F42" s="13"/>
      <c r="G42" s="14"/>
      <c r="H42" s="14"/>
      <c r="I42" s="15" t="str">
        <f aca="false">IF(G42="","",G42-H42)</f>
        <v/>
      </c>
      <c r="J42" s="16" t="str">
        <f aca="false">IF(G42="","",IF(H42=0,"Unpaid",IF(H42&lt;G42,"Partial","Paid")))</f>
        <v/>
      </c>
      <c r="K42" s="12"/>
      <c r="L42" s="16" t="str">
        <f aca="true">IF(OR(G42="",J42="Paid"),"",TODAY()-A42)</f>
        <v/>
      </c>
      <c r="M42" s="13"/>
    </row>
    <row r="43" customFormat="false" ht="15" hidden="false" customHeight="false" outlineLevel="0" collapsed="false">
      <c r="A43" s="12"/>
      <c r="B43" s="13"/>
      <c r="C43" s="13"/>
      <c r="D43" s="13"/>
      <c r="E43" s="13"/>
      <c r="F43" s="13"/>
      <c r="G43" s="14"/>
      <c r="H43" s="14"/>
      <c r="I43" s="15" t="str">
        <f aca="false">IF(G43="","",G43-H43)</f>
        <v/>
      </c>
      <c r="J43" s="16" t="str">
        <f aca="false">IF(G43="","",IF(H43=0,"Unpaid",IF(H43&lt;G43,"Partial","Paid")))</f>
        <v/>
      </c>
      <c r="K43" s="12"/>
      <c r="L43" s="16" t="str">
        <f aca="true">IF(OR(G43="",J43="Paid"),"",TODAY()-A43)</f>
        <v/>
      </c>
      <c r="M43" s="13"/>
    </row>
    <row r="44" customFormat="false" ht="15" hidden="false" customHeight="false" outlineLevel="0" collapsed="false">
      <c r="A44" s="12"/>
      <c r="B44" s="13"/>
      <c r="C44" s="13"/>
      <c r="D44" s="13"/>
      <c r="E44" s="13"/>
      <c r="F44" s="13"/>
      <c r="G44" s="14"/>
      <c r="H44" s="14"/>
      <c r="I44" s="15" t="str">
        <f aca="false">IF(G44="","",G44-H44)</f>
        <v/>
      </c>
      <c r="J44" s="16" t="str">
        <f aca="false">IF(G44="","",IF(H44=0,"Unpaid",IF(H44&lt;G44,"Partial","Paid")))</f>
        <v/>
      </c>
      <c r="K44" s="12"/>
      <c r="L44" s="16" t="str">
        <f aca="true">IF(OR(G44="",J44="Paid"),"",TODAY()-A44)</f>
        <v/>
      </c>
      <c r="M44" s="13"/>
    </row>
    <row r="45" customFormat="false" ht="15" hidden="false" customHeight="false" outlineLevel="0" collapsed="false">
      <c r="A45" s="12"/>
      <c r="B45" s="13"/>
      <c r="C45" s="13"/>
      <c r="D45" s="13"/>
      <c r="E45" s="13"/>
      <c r="F45" s="13"/>
      <c r="G45" s="14"/>
      <c r="H45" s="14"/>
      <c r="I45" s="15" t="str">
        <f aca="false">IF(G45="","",G45-H45)</f>
        <v/>
      </c>
      <c r="J45" s="16" t="str">
        <f aca="false">IF(G45="","",IF(H45=0,"Unpaid",IF(H45&lt;G45,"Partial","Paid")))</f>
        <v/>
      </c>
      <c r="K45" s="12"/>
      <c r="L45" s="16" t="str">
        <f aca="true">IF(OR(G45="",J45="Paid"),"",TODAY()-A45)</f>
        <v/>
      </c>
      <c r="M45" s="13"/>
    </row>
    <row r="46" customFormat="false" ht="15" hidden="false" customHeight="false" outlineLevel="0" collapsed="false">
      <c r="A46" s="12"/>
      <c r="B46" s="13"/>
      <c r="C46" s="13"/>
      <c r="D46" s="13"/>
      <c r="E46" s="13"/>
      <c r="F46" s="13"/>
      <c r="G46" s="14"/>
      <c r="H46" s="14"/>
      <c r="I46" s="15" t="str">
        <f aca="false">IF(G46="","",G46-H46)</f>
        <v/>
      </c>
      <c r="J46" s="16" t="str">
        <f aca="false">IF(G46="","",IF(H46=0,"Unpaid",IF(H46&lt;G46,"Partial","Paid")))</f>
        <v/>
      </c>
      <c r="K46" s="12"/>
      <c r="L46" s="16" t="str">
        <f aca="true">IF(OR(G46="",J46="Paid"),"",TODAY()-A46)</f>
        <v/>
      </c>
      <c r="M46" s="13"/>
    </row>
    <row r="47" customFormat="false" ht="15" hidden="false" customHeight="false" outlineLevel="0" collapsed="false">
      <c r="A47" s="12"/>
      <c r="B47" s="13"/>
      <c r="C47" s="13"/>
      <c r="D47" s="13"/>
      <c r="E47" s="13"/>
      <c r="F47" s="13"/>
      <c r="G47" s="14"/>
      <c r="H47" s="14"/>
      <c r="I47" s="15" t="str">
        <f aca="false">IF(G47="","",G47-H47)</f>
        <v/>
      </c>
      <c r="J47" s="16" t="str">
        <f aca="false">IF(G47="","",IF(H47=0,"Unpaid",IF(H47&lt;G47,"Partial","Paid")))</f>
        <v/>
      </c>
      <c r="K47" s="12"/>
      <c r="L47" s="16" t="str">
        <f aca="true">IF(OR(G47="",J47="Paid"),"",TODAY()-A47)</f>
        <v/>
      </c>
      <c r="M47" s="13"/>
    </row>
    <row r="48" customFormat="false" ht="15" hidden="false" customHeight="false" outlineLevel="0" collapsed="false">
      <c r="A48" s="12"/>
      <c r="B48" s="13"/>
      <c r="C48" s="13"/>
      <c r="D48" s="13"/>
      <c r="E48" s="13"/>
      <c r="F48" s="13"/>
      <c r="G48" s="14"/>
      <c r="H48" s="14"/>
      <c r="I48" s="15" t="str">
        <f aca="false">IF(G48="","",G48-H48)</f>
        <v/>
      </c>
      <c r="J48" s="16" t="str">
        <f aca="false">IF(G48="","",IF(H48=0,"Unpaid",IF(H48&lt;G48,"Partial","Paid")))</f>
        <v/>
      </c>
      <c r="K48" s="12"/>
      <c r="L48" s="16" t="str">
        <f aca="true">IF(OR(G48="",J48="Paid"),"",TODAY()-A48)</f>
        <v/>
      </c>
      <c r="M48" s="13"/>
    </row>
    <row r="49" customFormat="false" ht="15" hidden="false" customHeight="false" outlineLevel="0" collapsed="false">
      <c r="A49" s="12"/>
      <c r="B49" s="13"/>
      <c r="C49" s="13"/>
      <c r="D49" s="13"/>
      <c r="E49" s="13"/>
      <c r="F49" s="13"/>
      <c r="G49" s="14"/>
      <c r="H49" s="14"/>
      <c r="I49" s="15" t="str">
        <f aca="false">IF(G49="","",G49-H49)</f>
        <v/>
      </c>
      <c r="J49" s="16" t="str">
        <f aca="false">IF(G49="","",IF(H49=0,"Unpaid",IF(H49&lt;G49,"Partial","Paid")))</f>
        <v/>
      </c>
      <c r="K49" s="12"/>
      <c r="L49" s="16" t="str">
        <f aca="true">IF(OR(G49="",J49="Paid"),"",TODAY()-A49)</f>
        <v/>
      </c>
      <c r="M49" s="13"/>
    </row>
    <row r="50" customFormat="false" ht="15" hidden="false" customHeight="false" outlineLevel="0" collapsed="false">
      <c r="A50" s="12"/>
      <c r="B50" s="13"/>
      <c r="C50" s="13"/>
      <c r="D50" s="13"/>
      <c r="E50" s="13"/>
      <c r="F50" s="13"/>
      <c r="G50" s="14"/>
      <c r="H50" s="14"/>
      <c r="I50" s="15" t="str">
        <f aca="false">IF(G50="","",G50-H50)</f>
        <v/>
      </c>
      <c r="J50" s="16" t="str">
        <f aca="false">IF(G50="","",IF(H50=0,"Unpaid",IF(H50&lt;G50,"Partial","Paid")))</f>
        <v/>
      </c>
      <c r="K50" s="12"/>
      <c r="L50" s="16" t="str">
        <f aca="true">IF(OR(G50="",J50="Paid"),"",TODAY()-A50)</f>
        <v/>
      </c>
      <c r="M50" s="13"/>
    </row>
    <row r="51" customFormat="false" ht="15" hidden="false" customHeight="false" outlineLevel="0" collapsed="false">
      <c r="A51" s="12"/>
      <c r="B51" s="13"/>
      <c r="C51" s="13"/>
      <c r="D51" s="13"/>
      <c r="E51" s="13"/>
      <c r="F51" s="13"/>
      <c r="G51" s="14"/>
      <c r="H51" s="14"/>
      <c r="I51" s="15" t="str">
        <f aca="false">IF(G51="","",G51-H51)</f>
        <v/>
      </c>
      <c r="J51" s="16" t="str">
        <f aca="false">IF(G51="","",IF(H51=0,"Unpaid",IF(H51&lt;G51,"Partial","Paid")))</f>
        <v/>
      </c>
      <c r="K51" s="12"/>
      <c r="L51" s="16" t="str">
        <f aca="true">IF(OR(G51="",J51="Paid"),"",TODAY()-A51)</f>
        <v/>
      </c>
      <c r="M51" s="13"/>
    </row>
    <row r="52" customFormat="false" ht="15" hidden="false" customHeight="false" outlineLevel="0" collapsed="false">
      <c r="A52" s="12"/>
      <c r="B52" s="13"/>
      <c r="C52" s="13"/>
      <c r="D52" s="13"/>
      <c r="E52" s="13"/>
      <c r="F52" s="13"/>
      <c r="G52" s="14"/>
      <c r="H52" s="14"/>
      <c r="I52" s="15" t="str">
        <f aca="false">IF(G52="","",G52-H52)</f>
        <v/>
      </c>
      <c r="J52" s="16" t="str">
        <f aca="false">IF(G52="","",IF(H52=0,"Unpaid",IF(H52&lt;G52,"Partial","Paid")))</f>
        <v/>
      </c>
      <c r="K52" s="12"/>
      <c r="L52" s="16" t="str">
        <f aca="true">IF(OR(G52="",J52="Paid"),"",TODAY()-A52)</f>
        <v/>
      </c>
      <c r="M52" s="13"/>
    </row>
    <row r="53" customFormat="false" ht="15" hidden="false" customHeight="false" outlineLevel="0" collapsed="false">
      <c r="A53" s="12"/>
      <c r="B53" s="13"/>
      <c r="C53" s="13"/>
      <c r="D53" s="13"/>
      <c r="E53" s="13"/>
      <c r="F53" s="13"/>
      <c r="G53" s="14"/>
      <c r="H53" s="14"/>
      <c r="I53" s="15" t="str">
        <f aca="false">IF(G53="","",G53-H53)</f>
        <v/>
      </c>
      <c r="J53" s="16" t="str">
        <f aca="false">IF(G53="","",IF(H53=0,"Unpaid",IF(H53&lt;G53,"Partial","Paid")))</f>
        <v/>
      </c>
      <c r="K53" s="12"/>
      <c r="L53" s="16" t="str">
        <f aca="true">IF(OR(G53="",J53="Paid"),"",TODAY()-A53)</f>
        <v/>
      </c>
      <c r="M53" s="13"/>
    </row>
    <row r="54" customFormat="false" ht="15" hidden="false" customHeight="false" outlineLevel="0" collapsed="false">
      <c r="A54" s="12"/>
      <c r="B54" s="13"/>
      <c r="C54" s="13"/>
      <c r="D54" s="13"/>
      <c r="E54" s="13"/>
      <c r="F54" s="13"/>
      <c r="G54" s="14"/>
      <c r="H54" s="14"/>
      <c r="I54" s="15" t="str">
        <f aca="false">IF(G54="","",G54-H54)</f>
        <v/>
      </c>
      <c r="J54" s="16" t="str">
        <f aca="false">IF(G54="","",IF(H54=0,"Unpaid",IF(H54&lt;G54,"Partial","Paid")))</f>
        <v/>
      </c>
      <c r="K54" s="12"/>
      <c r="L54" s="16" t="str">
        <f aca="true">IF(OR(G54="",J54="Paid"),"",TODAY()-A54)</f>
        <v/>
      </c>
      <c r="M54" s="13"/>
    </row>
    <row r="55" customFormat="false" ht="15" hidden="false" customHeight="false" outlineLevel="0" collapsed="false">
      <c r="A55" s="12"/>
      <c r="B55" s="13"/>
      <c r="C55" s="13"/>
      <c r="D55" s="13"/>
      <c r="E55" s="13"/>
      <c r="F55" s="13"/>
      <c r="G55" s="14"/>
      <c r="H55" s="14"/>
      <c r="I55" s="15" t="str">
        <f aca="false">IF(G55="","",G55-H55)</f>
        <v/>
      </c>
      <c r="J55" s="16" t="str">
        <f aca="false">IF(G55="","",IF(H55=0,"Unpaid",IF(H55&lt;G55,"Partial","Paid")))</f>
        <v/>
      </c>
      <c r="K55" s="12"/>
      <c r="L55" s="16" t="str">
        <f aca="true">IF(OR(G55="",J55="Paid"),"",TODAY()-A55)</f>
        <v/>
      </c>
      <c r="M55" s="13"/>
    </row>
    <row r="56" customFormat="false" ht="15" hidden="false" customHeight="false" outlineLevel="0" collapsed="false">
      <c r="A56" s="12"/>
      <c r="B56" s="13"/>
      <c r="C56" s="13"/>
      <c r="D56" s="13"/>
      <c r="E56" s="13"/>
      <c r="F56" s="13"/>
      <c r="G56" s="14"/>
      <c r="H56" s="14"/>
      <c r="I56" s="15" t="str">
        <f aca="false">IF(G56="","",G56-H56)</f>
        <v/>
      </c>
      <c r="J56" s="16" t="str">
        <f aca="false">IF(G56="","",IF(H56=0,"Unpaid",IF(H56&lt;G56,"Partial","Paid")))</f>
        <v/>
      </c>
      <c r="K56" s="12"/>
      <c r="L56" s="16" t="str">
        <f aca="true">IF(OR(G56="",J56="Paid"),"",TODAY()-A56)</f>
        <v/>
      </c>
      <c r="M56" s="13"/>
    </row>
    <row r="57" customFormat="false" ht="15" hidden="false" customHeight="false" outlineLevel="0" collapsed="false">
      <c r="A57" s="12"/>
      <c r="B57" s="13"/>
      <c r="C57" s="13"/>
      <c r="D57" s="13"/>
      <c r="E57" s="13"/>
      <c r="F57" s="13"/>
      <c r="G57" s="14"/>
      <c r="H57" s="14"/>
      <c r="I57" s="15" t="str">
        <f aca="false">IF(G57="","",G57-H57)</f>
        <v/>
      </c>
      <c r="J57" s="16" t="str">
        <f aca="false">IF(G57="","",IF(H57=0,"Unpaid",IF(H57&lt;G57,"Partial","Paid")))</f>
        <v/>
      </c>
      <c r="K57" s="12"/>
      <c r="L57" s="16" t="str">
        <f aca="true">IF(OR(G57="",J57="Paid"),"",TODAY()-A57)</f>
        <v/>
      </c>
      <c r="M57" s="13"/>
    </row>
    <row r="58" customFormat="false" ht="15" hidden="false" customHeight="false" outlineLevel="0" collapsed="false">
      <c r="A58" s="12"/>
      <c r="B58" s="13"/>
      <c r="C58" s="13"/>
      <c r="D58" s="13"/>
      <c r="E58" s="13"/>
      <c r="F58" s="13"/>
      <c r="G58" s="14"/>
      <c r="H58" s="14"/>
      <c r="I58" s="15" t="str">
        <f aca="false">IF(G58="","",G58-H58)</f>
        <v/>
      </c>
      <c r="J58" s="16" t="str">
        <f aca="false">IF(G58="","",IF(H58=0,"Unpaid",IF(H58&lt;G58,"Partial","Paid")))</f>
        <v/>
      </c>
      <c r="K58" s="12"/>
      <c r="L58" s="16" t="str">
        <f aca="true">IF(OR(G58="",J58="Paid"),"",TODAY()-A58)</f>
        <v/>
      </c>
      <c r="M58" s="13"/>
    </row>
    <row r="59" customFormat="false" ht="15" hidden="false" customHeight="false" outlineLevel="0" collapsed="false">
      <c r="A59" s="12"/>
      <c r="B59" s="13"/>
      <c r="C59" s="13"/>
      <c r="D59" s="13"/>
      <c r="E59" s="13"/>
      <c r="F59" s="13"/>
      <c r="G59" s="14"/>
      <c r="H59" s="14"/>
      <c r="I59" s="15" t="str">
        <f aca="false">IF(G59="","",G59-H59)</f>
        <v/>
      </c>
      <c r="J59" s="16" t="str">
        <f aca="false">IF(G59="","",IF(H59=0,"Unpaid",IF(H59&lt;G59,"Partial","Paid")))</f>
        <v/>
      </c>
      <c r="K59" s="12"/>
      <c r="L59" s="16" t="str">
        <f aca="true">IF(OR(G59="",J59="Paid"),"",TODAY()-A59)</f>
        <v/>
      </c>
      <c r="M59" s="13"/>
    </row>
    <row r="60" customFormat="false" ht="15" hidden="false" customHeight="false" outlineLevel="0" collapsed="false">
      <c r="A60" s="12"/>
      <c r="B60" s="13"/>
      <c r="C60" s="13"/>
      <c r="D60" s="13"/>
      <c r="E60" s="13"/>
      <c r="F60" s="13"/>
      <c r="G60" s="14"/>
      <c r="H60" s="14"/>
      <c r="I60" s="15" t="str">
        <f aca="false">IF(G60="","",G60-H60)</f>
        <v/>
      </c>
      <c r="J60" s="16" t="str">
        <f aca="false">IF(G60="","",IF(H60=0,"Unpaid",IF(H60&lt;G60,"Partial","Paid")))</f>
        <v/>
      </c>
      <c r="K60" s="12"/>
      <c r="L60" s="16" t="str">
        <f aca="true">IF(OR(G60="",J60="Paid"),"",TODAY()-A60)</f>
        <v/>
      </c>
      <c r="M60" s="13"/>
    </row>
    <row r="61" customFormat="false" ht="15" hidden="false" customHeight="false" outlineLevel="0" collapsed="false">
      <c r="A61" s="12"/>
      <c r="B61" s="13"/>
      <c r="C61" s="13"/>
      <c r="D61" s="13"/>
      <c r="E61" s="13"/>
      <c r="F61" s="13"/>
      <c r="G61" s="14"/>
      <c r="H61" s="14"/>
      <c r="I61" s="15" t="str">
        <f aca="false">IF(G61="","",G61-H61)</f>
        <v/>
      </c>
      <c r="J61" s="16" t="str">
        <f aca="false">IF(G61="","",IF(H61=0,"Unpaid",IF(H61&lt;G61,"Partial","Paid")))</f>
        <v/>
      </c>
      <c r="K61" s="12"/>
      <c r="L61" s="16" t="str">
        <f aca="true">IF(OR(G61="",J61="Paid"),"",TODAY()-A61)</f>
        <v/>
      </c>
      <c r="M61" s="13"/>
    </row>
    <row r="62" customFormat="false" ht="15" hidden="false" customHeight="false" outlineLevel="0" collapsed="false">
      <c r="A62" s="12"/>
      <c r="B62" s="13"/>
      <c r="C62" s="13"/>
      <c r="D62" s="13"/>
      <c r="E62" s="13"/>
      <c r="F62" s="13"/>
      <c r="G62" s="14"/>
      <c r="H62" s="14"/>
      <c r="I62" s="15" t="str">
        <f aca="false">IF(G62="","",G62-H62)</f>
        <v/>
      </c>
      <c r="J62" s="16" t="str">
        <f aca="false">IF(G62="","",IF(H62=0,"Unpaid",IF(H62&lt;G62,"Partial","Paid")))</f>
        <v/>
      </c>
      <c r="K62" s="12"/>
      <c r="L62" s="16" t="str">
        <f aca="true">IF(OR(G62="",J62="Paid"),"",TODAY()-A62)</f>
        <v/>
      </c>
      <c r="M62" s="13"/>
    </row>
    <row r="63" customFormat="false" ht="15" hidden="false" customHeight="false" outlineLevel="0" collapsed="false">
      <c r="A63" s="12"/>
      <c r="B63" s="13"/>
      <c r="C63" s="13"/>
      <c r="D63" s="13"/>
      <c r="E63" s="13"/>
      <c r="F63" s="13"/>
      <c r="G63" s="14"/>
      <c r="H63" s="14"/>
      <c r="I63" s="15" t="str">
        <f aca="false">IF(G63="","",G63-H63)</f>
        <v/>
      </c>
      <c r="J63" s="16" t="str">
        <f aca="false">IF(G63="","",IF(H63=0,"Unpaid",IF(H63&lt;G63,"Partial","Paid")))</f>
        <v/>
      </c>
      <c r="K63" s="12"/>
      <c r="L63" s="16" t="str">
        <f aca="true">IF(OR(G63="",J63="Paid"),"",TODAY()-A63)</f>
        <v/>
      </c>
      <c r="M63" s="13"/>
    </row>
    <row r="64" customFormat="false" ht="15" hidden="false" customHeight="false" outlineLevel="0" collapsed="false">
      <c r="A64" s="12"/>
      <c r="B64" s="13"/>
      <c r="C64" s="13"/>
      <c r="D64" s="13"/>
      <c r="E64" s="13"/>
      <c r="F64" s="13"/>
      <c r="G64" s="14"/>
      <c r="H64" s="14"/>
      <c r="I64" s="15" t="str">
        <f aca="false">IF(G64="","",G64-H64)</f>
        <v/>
      </c>
      <c r="J64" s="16" t="str">
        <f aca="false">IF(G64="","",IF(H64=0,"Unpaid",IF(H64&lt;G64,"Partial","Paid")))</f>
        <v/>
      </c>
      <c r="K64" s="12"/>
      <c r="L64" s="16" t="str">
        <f aca="true">IF(OR(G64="",J64="Paid"),"",TODAY()-A64)</f>
        <v/>
      </c>
      <c r="M64" s="13"/>
    </row>
  </sheetData>
  <mergeCells count="2">
    <mergeCell ref="A1:M1"/>
    <mergeCell ref="A2:M2"/>
  </mergeCells>
  <conditionalFormatting sqref="A5:M64">
    <cfRule type="expression" priority="2" aboveAverage="0" equalAverage="0" bottom="0" percent="0" rank="0" text="" dxfId="0">
      <formula>$J5="Paid"</formula>
    </cfRule>
    <cfRule type="expression" priority="3" aboveAverage="0" equalAverage="0" bottom="0" percent="0" rank="0" text="" dxfId="1">
      <formula>OR($J5="Unpaid",$J5="Partial")</formula>
    </cfRule>
  </conditionalFormatting>
  <dataValidations count="2">
    <dataValidation allowBlank="true" errorStyle="stop" operator="between" showDropDown="false" showErrorMessage="false" showInputMessage="false" sqref="E5:E64" type="list">
      <formula1>"Self-Pay,Insurer"</formula1>
      <formula2>0</formula2>
    </dataValidation>
    <dataValidation allowBlank="true" errorStyle="stop" operator="between" showDropDown="false" showErrorMessage="false" showInputMessage="false" sqref="F5:F64" type="list">
      <formula1>"N/A,Bupa,AXA Health,Vitality,Aviva,WPA,Healix,Other"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20"/>
    <col collapsed="false" customWidth="true" hidden="false" outlineLevel="0" max="4" min="4" style="0" width="18"/>
  </cols>
  <sheetData>
    <row r="1" customFormat="false" ht="24" hidden="false" customHeight="true" outlineLevel="0" collapsed="false">
      <c r="A1" s="10" t="s">
        <v>32</v>
      </c>
      <c r="B1" s="10"/>
      <c r="C1" s="10"/>
      <c r="D1" s="10"/>
    </row>
    <row r="2" customFormat="false" ht="15.75" hidden="false" customHeight="true" outlineLevel="0" collapsed="false">
      <c r="A2" s="9" t="s">
        <v>33</v>
      </c>
      <c r="B2" s="9"/>
      <c r="C2" s="9"/>
      <c r="D2" s="9"/>
    </row>
    <row r="4" customFormat="false" ht="15" hidden="false" customHeight="false" outlineLevel="0" collapsed="false">
      <c r="A4" s="1" t="s">
        <v>34</v>
      </c>
    </row>
    <row r="5" customFormat="false" ht="15" hidden="false" customHeight="false" outlineLevel="0" collapsed="false">
      <c r="A5" s="17" t="s">
        <v>35</v>
      </c>
      <c r="B5" s="18" t="n">
        <f aca="false">SUM('Billing Log'!G5:G64)</f>
        <v>0</v>
      </c>
    </row>
    <row r="6" customFormat="false" ht="15" hidden="false" customHeight="false" outlineLevel="0" collapsed="false">
      <c r="A6" s="17" t="s">
        <v>36</v>
      </c>
      <c r="B6" s="18" t="n">
        <f aca="false">SUM('Billing Log'!H5:H64)</f>
        <v>0</v>
      </c>
    </row>
    <row r="7" customFormat="false" ht="15" hidden="false" customHeight="false" outlineLevel="0" collapsed="false">
      <c r="A7" s="17" t="s">
        <v>37</v>
      </c>
      <c r="B7" s="18" t="n">
        <f aca="false">SUM('Billing Log'!I5:I64)</f>
        <v>0</v>
      </c>
    </row>
    <row r="8" customFormat="false" ht="15" hidden="false" customHeight="false" outlineLevel="0" collapsed="false">
      <c r="A8" s="17" t="s">
        <v>38</v>
      </c>
      <c r="B8" s="19" t="n">
        <f aca="false">COUNTA('Billing Log'!A5:A64)</f>
        <v>0</v>
      </c>
    </row>
    <row r="9" customFormat="false" ht="15" hidden="false" customHeight="false" outlineLevel="0" collapsed="false">
      <c r="A9" s="17" t="s">
        <v>39</v>
      </c>
      <c r="B9" s="19" t="n">
        <f aca="false">COUNTIF('Billing Log'!J5:J64,"Unpaid")</f>
        <v>0</v>
      </c>
    </row>
    <row r="10" customFormat="false" ht="15" hidden="false" customHeight="false" outlineLevel="0" collapsed="false">
      <c r="A10" s="17" t="s">
        <v>40</v>
      </c>
      <c r="B10" s="19" t="n">
        <f aca="false">COUNTIF('Billing Log'!J5:J64,"Partial")</f>
        <v>0</v>
      </c>
    </row>
    <row r="11" customFormat="false" ht="15" hidden="false" customHeight="false" outlineLevel="0" collapsed="false">
      <c r="A11" s="17" t="s">
        <v>41</v>
      </c>
      <c r="B11" s="19" t="n">
        <f aca="false">COUNTIF('Billing Log'!J5:J64,"Paid")</f>
        <v>0</v>
      </c>
    </row>
    <row r="13" customFormat="false" ht="15" hidden="false" customHeight="false" outlineLevel="0" collapsed="false">
      <c r="A13" s="1" t="s">
        <v>42</v>
      </c>
    </row>
    <row r="14" customFormat="false" ht="15" hidden="false" customHeight="false" outlineLevel="0" collapsed="false">
      <c r="A14" s="20" t="s">
        <v>24</v>
      </c>
      <c r="B14" s="20" t="s">
        <v>43</v>
      </c>
      <c r="C14" s="20" t="s">
        <v>44</v>
      </c>
      <c r="D14" s="20" t="s">
        <v>27</v>
      </c>
    </row>
    <row r="15" customFormat="false" ht="15" hidden="false" customHeight="false" outlineLevel="0" collapsed="false">
      <c r="A15" s="21" t="s">
        <v>45</v>
      </c>
      <c r="B15" s="22" t="n">
        <f aca="false">SUMIF('Billing Log'!$E$5:$E$64,"Self-Pay",'Billing Log'!$G$5:$G$64)</f>
        <v>0</v>
      </c>
      <c r="C15" s="22" t="n">
        <f aca="false">SUMIF('Billing Log'!$E$5:$E$64,"Self-Pay",'Billing Log'!$H$5:$H$64)</f>
        <v>0</v>
      </c>
      <c r="D15" s="22" t="n">
        <f aca="false">SUMIF('Billing Log'!$E$5:$E$64,"Self-Pay",'Billing Log'!$I$5:$I$64)</f>
        <v>0</v>
      </c>
    </row>
    <row r="16" customFormat="false" ht="15" hidden="false" customHeight="false" outlineLevel="0" collapsed="false">
      <c r="A16" s="21" t="s">
        <v>46</v>
      </c>
      <c r="B16" s="22" t="n">
        <f aca="false">SUMIF('Billing Log'!$F$5:$F$64,"Bupa",'Billing Log'!$G$5:$G$64)</f>
        <v>0</v>
      </c>
      <c r="C16" s="22" t="n">
        <f aca="false">SUMIF('Billing Log'!$F$5:$F$64,"Bupa",'Billing Log'!$H$5:$H$64)</f>
        <v>0</v>
      </c>
      <c r="D16" s="22" t="n">
        <f aca="false">SUMIF('Billing Log'!$F$5:$F$64,"Bupa",'Billing Log'!$I$5:$I$64)</f>
        <v>0</v>
      </c>
    </row>
    <row r="17" customFormat="false" ht="15" hidden="false" customHeight="false" outlineLevel="0" collapsed="false">
      <c r="A17" s="21" t="s">
        <v>47</v>
      </c>
      <c r="B17" s="22" t="n">
        <f aca="false">SUMIF('Billing Log'!$F$5:$F$64,"AXA Health",'Billing Log'!$G$5:$G$64)</f>
        <v>0</v>
      </c>
      <c r="C17" s="22" t="n">
        <f aca="false">SUMIF('Billing Log'!$F$5:$F$64,"AXA Health",'Billing Log'!$H$5:$H$64)</f>
        <v>0</v>
      </c>
      <c r="D17" s="22" t="n">
        <f aca="false">SUMIF('Billing Log'!$F$5:$F$64,"AXA Health",'Billing Log'!$I$5:$I$64)</f>
        <v>0</v>
      </c>
    </row>
    <row r="18" customFormat="false" ht="15" hidden="false" customHeight="false" outlineLevel="0" collapsed="false">
      <c r="A18" s="21" t="s">
        <v>48</v>
      </c>
      <c r="B18" s="22" t="n">
        <f aca="false">SUMIF('Billing Log'!$F$5:$F$64,"Vitality",'Billing Log'!$G$5:$G$64)</f>
        <v>0</v>
      </c>
      <c r="C18" s="22" t="n">
        <f aca="false">SUMIF('Billing Log'!$F$5:$F$64,"Vitality",'Billing Log'!$H$5:$H$64)</f>
        <v>0</v>
      </c>
      <c r="D18" s="22" t="n">
        <f aca="false">SUMIF('Billing Log'!$F$5:$F$64,"Vitality",'Billing Log'!$I$5:$I$64)</f>
        <v>0</v>
      </c>
    </row>
    <row r="19" customFormat="false" ht="15" hidden="false" customHeight="false" outlineLevel="0" collapsed="false">
      <c r="A19" s="21" t="s">
        <v>49</v>
      </c>
      <c r="B19" s="22" t="n">
        <f aca="false">SUMIF('Billing Log'!$F$5:$F$64,"Aviva",'Billing Log'!$G$5:$G$64)</f>
        <v>0</v>
      </c>
      <c r="C19" s="22" t="n">
        <f aca="false">SUMIF('Billing Log'!$F$5:$F$64,"Aviva",'Billing Log'!$H$5:$H$64)</f>
        <v>0</v>
      </c>
      <c r="D19" s="22" t="n">
        <f aca="false">SUMIF('Billing Log'!$F$5:$F$64,"Aviva",'Billing Log'!$I$5:$I$64)</f>
        <v>0</v>
      </c>
    </row>
    <row r="20" customFormat="false" ht="15" hidden="false" customHeight="false" outlineLevel="0" collapsed="false">
      <c r="A20" s="21" t="s">
        <v>50</v>
      </c>
      <c r="B20" s="22" t="n">
        <f aca="false">SUMIF('Billing Log'!$F$5:$F$64,"WPA",'Billing Log'!$G$5:$G$64)</f>
        <v>0</v>
      </c>
      <c r="C20" s="22" t="n">
        <f aca="false">SUMIF('Billing Log'!$F$5:$F$64,"WPA",'Billing Log'!$H$5:$H$64)</f>
        <v>0</v>
      </c>
      <c r="D20" s="22" t="n">
        <f aca="false">SUMIF('Billing Log'!$F$5:$F$64,"WPA",'Billing Log'!$I$5:$I$64)</f>
        <v>0</v>
      </c>
    </row>
    <row r="21" customFormat="false" ht="15" hidden="false" customHeight="false" outlineLevel="0" collapsed="false">
      <c r="A21" s="21" t="s">
        <v>51</v>
      </c>
      <c r="B21" s="22" t="n">
        <f aca="false">SUMIF('Billing Log'!$F$5:$F$64,"Healix",'Billing Log'!$G$5:$G$64)</f>
        <v>0</v>
      </c>
      <c r="C21" s="22" t="n">
        <f aca="false">SUMIF('Billing Log'!$F$5:$F$64,"Healix",'Billing Log'!$H$5:$H$64)</f>
        <v>0</v>
      </c>
      <c r="D21" s="22" t="n">
        <f aca="false">SUMIF('Billing Log'!$F$5:$F$64,"Healix",'Billing Log'!$I$5:$I$64)</f>
        <v>0</v>
      </c>
    </row>
    <row r="22" customFormat="false" ht="15" hidden="false" customHeight="false" outlineLevel="0" collapsed="false">
      <c r="A22" s="21" t="s">
        <v>52</v>
      </c>
      <c r="B22" s="22" t="n">
        <f aca="false">SUMIF('Billing Log'!$F$5:$F$64,"Other",'Billing Log'!$G$5:$G$64)</f>
        <v>0</v>
      </c>
      <c r="C22" s="22" t="n">
        <f aca="false">SUMIF('Billing Log'!$F$5:$F$64,"Other",'Billing Log'!$H$5:$H$64)</f>
        <v>0</v>
      </c>
      <c r="D22" s="22" t="n">
        <f aca="false">SUMIF('Billing Log'!$F$5:$F$64,"Other",'Billing Log'!$I$5:$I$64)</f>
        <v>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2026-07-09T08:05:05Z</dcterms:created>
  <dc:creator>openpyxl</dc:creator>
  <dc:description/>
  <dc:language>en-US</dc:language>
  <cp:lastModifiedBy/>
  <dcterms:modified xsi:type="dcterms:W3CDTF">2026-07-09T08:05:05Z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