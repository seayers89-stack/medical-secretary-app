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Income Log" sheetId="2" state="visible" r:id="rId4"/>
    <sheet name="Expense &amp; Mileage Log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HMRC's standard mileage allowance (approved mileage allowance payments) is currently 45p/mile for the first 10,000 business miles in a tax year, 25p/mile after — check the current rate before relying on this.</t>
        </r>
      </text>
    </comment>
  </commentList>
</comments>
</file>

<file path=xl/sharedStrings.xml><?xml version="1.0" encoding="utf-8"?>
<sst xmlns="http://schemas.openxmlformats.org/spreadsheetml/2006/main" count="65" uniqueCount="57">
  <si>
    <t xml:space="preserve">VEYN — BUSINESS HUB TEMPLATE</t>
  </si>
  <si>
    <t xml:space="preserve">Income &amp; Expense Log</t>
  </si>
  <si>
    <t xml:space="preserve">Tracks money in (client/consultant income) and money out (mileage and business expenses) in one place, with a running net-income summary — useful for self-assessment records if you're self-employed.</t>
  </si>
  <si>
    <t xml:space="preserve">This is general guidance only, not financial, tax or legal advice for your specific situation — check figures with an accountant before relying on them, in line with Veyn's Business Hub terms.</t>
  </si>
  <si>
    <t xml:space="preserve">HOW TO READ THIS WORKBOOK</t>
  </si>
  <si>
    <t xml:space="preserve">Colour</t>
  </si>
  <si>
    <t xml:space="preserve">Meaning</t>
  </si>
  <si>
    <t xml:space="preserve">Blue text</t>
  </si>
  <si>
    <t xml:space="preserve">Type into this cell — it won't overwrite a formula</t>
  </si>
  <si>
    <t xml:space="preserve">Black text</t>
  </si>
  <si>
    <t xml:space="preserve">Calculated automatically — leave alone</t>
  </si>
  <si>
    <t xml:space="preserve">Gold row</t>
  </si>
  <si>
    <t xml:space="preserve">Outstanding — not yet received</t>
  </si>
  <si>
    <t xml:space="preserve">Green row</t>
  </si>
  <si>
    <t xml:space="preserve">Received / paid</t>
  </si>
  <si>
    <t xml:space="preserve">This template is general guidance, not financial, tax or legal advice — check figures relevant to your own situation.</t>
  </si>
  <si>
    <t xml:space="preserve">Privacy note: use patient initials or an internal reference number in these trackers, never full identifying details, in line with GDPR good practice.</t>
  </si>
  <si>
    <t xml:space="preserve">Income Log</t>
  </si>
  <si>
    <t xml:space="preserve">One row per payment — invoiced or received</t>
  </si>
  <si>
    <t xml:space="preserve">Date</t>
  </si>
  <si>
    <t xml:space="preserve">Consultant / Client</t>
  </si>
  <si>
    <t xml:space="preserve">Description</t>
  </si>
  <si>
    <t xml:space="preserve">Income Type</t>
  </si>
  <si>
    <t xml:space="preserve">Amount (£)</t>
  </si>
  <si>
    <t xml:space="preserve">Payment Status</t>
  </si>
  <si>
    <t xml:space="preserve">Notes</t>
  </si>
  <si>
    <t xml:space="preserve">Expense &amp; Mileage Log</t>
  </si>
  <si>
    <t xml:space="preserve">One row per expense or mileage claim</t>
  </si>
  <si>
    <t xml:space="preserve">Category</t>
  </si>
  <si>
    <t xml:space="preserve">Miles</t>
  </si>
  <si>
    <t xml:space="preserve">Mileage Rate (£/mile)</t>
  </si>
  <si>
    <t xml:space="preserve">Mileage Amount (£)</t>
  </si>
  <si>
    <t xml:space="preserve">Other Expense (£)</t>
  </si>
  <si>
    <t xml:space="preserve">Total (£)</t>
  </si>
  <si>
    <t xml:space="preserve">Summary</t>
  </si>
  <si>
    <t xml:space="preserve">Updates automatically from the Income Log and Expense &amp; Mileage Log tabs</t>
  </si>
  <si>
    <t xml:space="preserve">Income</t>
  </si>
  <si>
    <t xml:space="preserve">Total Received (£)</t>
  </si>
  <si>
    <t xml:space="preserve">Total Outstanding (£)</t>
  </si>
  <si>
    <t xml:space="preserve">Payments Logged</t>
  </si>
  <si>
    <t xml:space="preserve">Expenses</t>
  </si>
  <si>
    <t xml:space="preserve">Total Mileage Claimed (£)</t>
  </si>
  <si>
    <t xml:space="preserve">Total Other Expenses (£)</t>
  </si>
  <si>
    <t xml:space="preserve">Total Expenses Claimed (£)</t>
  </si>
  <si>
    <t xml:space="preserve">Net</t>
  </si>
  <si>
    <t xml:space="preserve">Net Income (Received − Expenses Claimed) (£)</t>
  </si>
  <si>
    <t xml:space="preserve">Income by Type</t>
  </si>
  <si>
    <t xml:space="preserve">Day Rate</t>
  </si>
  <si>
    <t xml:space="preserve">Hourly</t>
  </si>
  <si>
    <t xml:space="preserve">Retainer</t>
  </si>
  <si>
    <t xml:space="preserve">Percentage Fee</t>
  </si>
  <si>
    <t xml:space="preserve">Other</t>
  </si>
  <si>
    <t xml:space="preserve">Expenses by Category</t>
  </si>
  <si>
    <t xml:space="preserve">Mileage</t>
  </si>
  <si>
    <t xml:space="preserve">Software</t>
  </si>
  <si>
    <t xml:space="preserve">Stationery</t>
  </si>
  <si>
    <t xml:space="preserve">Training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</si>
</sst>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\£#,##0.00;&quot;(£&quot;#,##0.00\);\-"/>
    <numFmt numFmtId="167" formatCode="\£#,##0.00"/>
    <numFmt numFmtId="168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8924A"/>
      <name val="Consolas"/>
      <family val="0"/>
      <charset val="1"/>
    </font>
    <font>
      <b val="true"/>
      <sz val="20"/>
      <color rgb="FF1B2430"/>
      <name val="Cambria"/>
      <family val="0"/>
      <charset val="1"/>
    </font>
    <font>
      <sz val="11"/>
      <color rgb="FF5C6470"/>
      <name val="Calibri"/>
      <family val="0"/>
      <charset val="1"/>
    </font>
    <font>
      <b val="true"/>
      <sz val="10"/>
      <color rgb="FF1B2430"/>
      <name val="Calibri"/>
      <family val="0"/>
      <charset val="1"/>
    </font>
    <font>
      <sz val="10"/>
      <color rgb="FF5C6470"/>
      <name val="Calibri"/>
      <family val="0"/>
      <charset val="1"/>
    </font>
    <font>
      <i val="true"/>
      <sz val="9"/>
      <color rgb="FF5C6470"/>
      <name val="Calibri"/>
      <family val="0"/>
      <charset val="1"/>
    </font>
    <font>
      <b val="true"/>
      <sz val="15"/>
      <color rgb="FF1B2430"/>
      <name val="Cambria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1F3B8C"/>
      <name val="Calibri"/>
      <family val="0"/>
      <charset val="1"/>
    </font>
    <font>
      <sz val="10"/>
      <color rgb="FF1B2430"/>
      <name val="Calibri"/>
      <family val="0"/>
      <charset val="1"/>
    </font>
    <font>
      <sz val="10"/>
      <name val="Arial"/>
      <family val="2"/>
    </font>
    <font>
      <b val="true"/>
      <sz val="11"/>
      <color rgb="FF1B243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1E4C8"/>
        <bgColor rgb="FFDCE8DF"/>
      </patternFill>
    </fill>
    <fill>
      <patternFill patternType="solid">
        <fgColor rgb="FFFFFFFF"/>
        <bgColor rgb="FFCCFFFF"/>
      </patternFill>
    </fill>
    <fill>
      <patternFill patternType="solid">
        <fgColor rgb="FFDCE8DF"/>
        <bgColor rgb="FFF1E4C8"/>
      </patternFill>
    </fill>
    <fill>
      <patternFill patternType="solid">
        <fgColor rgb="FF1B243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3C6"/>
      </left>
      <right style="thin">
        <color rgb="FFD8D3C6"/>
      </right>
      <top style="thin">
        <color rgb="FFD8D3C6"/>
      </top>
      <bottom style="thin">
        <color rgb="FFD8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DCE8DF"/>
        </patternFill>
      </fill>
    </dxf>
    <dxf>
      <fill>
        <patternFill>
          <bgColor rgb="FFF1E4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3C6"/>
      <rgbColor rgb="FF808080"/>
      <rgbColor rgb="FF9999FF"/>
      <rgbColor rgb="FF993366"/>
      <rgbColor rgb="FFF1E4C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8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470"/>
      <rgbColor rgb="FFB8924A"/>
      <rgbColor rgb="FF003366"/>
      <rgbColor rgb="FF339966"/>
      <rgbColor rgb="FF003300"/>
      <rgbColor rgb="FF333300"/>
      <rgbColor rgb="FF993300"/>
      <rgbColor rgb="FF993366"/>
      <rgbColor rgb="FF1F3B8C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430"/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62"/>
  </cols>
  <sheetData>
    <row r="2" customFormat="false" ht="15" hidden="false" customHeight="fals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</row>
    <row r="5" customFormat="false" ht="30" hidden="false" customHeight="true" outlineLevel="0" collapsed="false">
      <c r="B5" s="3" t="s">
        <v>2</v>
      </c>
      <c r="C5" s="3"/>
    </row>
    <row r="6" customFormat="false" ht="30" hidden="false" customHeight="true" outlineLevel="0" collapsed="false">
      <c r="B6" s="3" t="s">
        <v>3</v>
      </c>
      <c r="C6" s="3"/>
    </row>
    <row r="8" customFormat="false" ht="15" hidden="false" customHeight="false" outlineLevel="0" collapsed="false">
      <c r="B8" s="1" t="s">
        <v>4</v>
      </c>
    </row>
    <row r="9" customFormat="false" ht="15" hidden="false" customHeight="false" outlineLevel="0" collapsed="false">
      <c r="B9" s="4" t="s">
        <v>5</v>
      </c>
      <c r="C9" s="4" t="s">
        <v>6</v>
      </c>
    </row>
    <row r="10" customFormat="false" ht="21.75" hidden="false" customHeight="true" outlineLevel="0" collapsed="false">
      <c r="B10" s="5" t="s">
        <v>7</v>
      </c>
      <c r="C10" s="6" t="s">
        <v>8</v>
      </c>
    </row>
    <row r="11" customFormat="false" ht="21.75" hidden="false" customHeight="true" outlineLevel="0" collapsed="false">
      <c r="B11" s="7" t="s">
        <v>9</v>
      </c>
      <c r="C11" s="6" t="s">
        <v>10</v>
      </c>
    </row>
    <row r="12" customFormat="false" ht="21.75" hidden="false" customHeight="true" outlineLevel="0" collapsed="false">
      <c r="B12" s="5" t="s">
        <v>11</v>
      </c>
      <c r="C12" s="6" t="s">
        <v>12</v>
      </c>
    </row>
    <row r="13" customFormat="false" ht="21.75" hidden="false" customHeight="true" outlineLevel="0" collapsed="false">
      <c r="B13" s="8" t="s">
        <v>13</v>
      </c>
      <c r="C13" s="6" t="s">
        <v>14</v>
      </c>
    </row>
    <row r="15" customFormat="false" ht="25.5" hidden="false" customHeight="true" outlineLevel="0" collapsed="false">
      <c r="B15" s="9" t="s">
        <v>15</v>
      </c>
      <c r="C15" s="9"/>
    </row>
    <row r="17" customFormat="false" ht="25.5" hidden="false" customHeight="true" outlineLevel="0" collapsed="false">
      <c r="B17" s="9" t="s">
        <v>16</v>
      </c>
      <c r="C17" s="9"/>
    </row>
  </sheetData>
  <mergeCells count="4">
    <mergeCell ref="B5:C5"/>
    <mergeCell ref="B6:C6"/>
    <mergeCell ref="B15:C15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6" min="4" style="0" width="14"/>
    <col collapsed="false" customWidth="true" hidden="false" outlineLevel="0" max="7" min="7" style="0" width="24"/>
  </cols>
  <sheetData>
    <row r="1" customFormat="false" ht="24" hidden="false" customHeight="true" outlineLevel="0" collapsed="false">
      <c r="A1" s="10" t="s">
        <v>17</v>
      </c>
      <c r="B1" s="10"/>
      <c r="C1" s="10"/>
      <c r="D1" s="10"/>
      <c r="E1" s="10"/>
      <c r="F1" s="10"/>
      <c r="G1" s="10"/>
    </row>
    <row r="2" customFormat="false" ht="15.75" hidden="false" customHeight="true" outlineLevel="0" collapsed="false">
      <c r="A2" s="9" t="s">
        <v>18</v>
      </c>
      <c r="B2" s="9"/>
      <c r="C2" s="9"/>
      <c r="D2" s="9"/>
      <c r="E2" s="9"/>
      <c r="F2" s="9"/>
      <c r="G2" s="9"/>
    </row>
    <row r="4" customFormat="false" ht="31.5" hidden="false" customHeight="true" outlineLevel="0" collapsed="false">
      <c r="A4" s="11" t="s">
        <v>19</v>
      </c>
      <c r="B4" s="11" t="s">
        <v>20</v>
      </c>
      <c r="C4" s="11" t="s">
        <v>21</v>
      </c>
      <c r="D4" s="11" t="s">
        <v>22</v>
      </c>
      <c r="E4" s="11" t="s">
        <v>23</v>
      </c>
      <c r="F4" s="11" t="s">
        <v>24</v>
      </c>
      <c r="G4" s="11" t="s">
        <v>25</v>
      </c>
    </row>
    <row r="5" customFormat="false" ht="15" hidden="false" customHeight="false" outlineLevel="0" collapsed="false">
      <c r="A5" s="12"/>
      <c r="B5" s="13"/>
      <c r="C5" s="13"/>
      <c r="D5" s="13"/>
      <c r="E5" s="14"/>
      <c r="F5" s="13"/>
      <c r="G5" s="13"/>
    </row>
    <row r="6" customFormat="false" ht="15" hidden="false" customHeight="false" outlineLevel="0" collapsed="false">
      <c r="A6" s="12"/>
      <c r="B6" s="13"/>
      <c r="C6" s="13"/>
      <c r="D6" s="13"/>
      <c r="E6" s="14"/>
      <c r="F6" s="13"/>
      <c r="G6" s="13"/>
    </row>
    <row r="7" customFormat="false" ht="15" hidden="false" customHeight="false" outlineLevel="0" collapsed="false">
      <c r="A7" s="12"/>
      <c r="B7" s="13"/>
      <c r="C7" s="13"/>
      <c r="D7" s="13"/>
      <c r="E7" s="14"/>
      <c r="F7" s="13"/>
      <c r="G7" s="13"/>
    </row>
    <row r="8" customFormat="false" ht="15" hidden="false" customHeight="false" outlineLevel="0" collapsed="false">
      <c r="A8" s="12"/>
      <c r="B8" s="13"/>
      <c r="C8" s="13"/>
      <c r="D8" s="13"/>
      <c r="E8" s="14"/>
      <c r="F8" s="13"/>
      <c r="G8" s="13"/>
    </row>
    <row r="9" customFormat="false" ht="15" hidden="false" customHeight="false" outlineLevel="0" collapsed="false">
      <c r="A9" s="12"/>
      <c r="B9" s="13"/>
      <c r="C9" s="13"/>
      <c r="D9" s="13"/>
      <c r="E9" s="14"/>
      <c r="F9" s="13"/>
      <c r="G9" s="13"/>
    </row>
    <row r="10" customFormat="false" ht="15" hidden="false" customHeight="false" outlineLevel="0" collapsed="false">
      <c r="A10" s="12"/>
      <c r="B10" s="13"/>
      <c r="C10" s="13"/>
      <c r="D10" s="13"/>
      <c r="E10" s="14"/>
      <c r="F10" s="13"/>
      <c r="G10" s="13"/>
    </row>
    <row r="11" customFormat="false" ht="15" hidden="false" customHeight="false" outlineLevel="0" collapsed="false">
      <c r="A11" s="12"/>
      <c r="B11" s="13"/>
      <c r="C11" s="13"/>
      <c r="D11" s="13"/>
      <c r="E11" s="14"/>
      <c r="F11" s="13"/>
      <c r="G11" s="13"/>
    </row>
    <row r="12" customFormat="false" ht="15" hidden="false" customHeight="false" outlineLevel="0" collapsed="false">
      <c r="A12" s="12"/>
      <c r="B12" s="13"/>
      <c r="C12" s="13"/>
      <c r="D12" s="13"/>
      <c r="E12" s="14"/>
      <c r="F12" s="13"/>
      <c r="G12" s="13"/>
    </row>
    <row r="13" customFormat="false" ht="15" hidden="false" customHeight="false" outlineLevel="0" collapsed="false">
      <c r="A13" s="12"/>
      <c r="B13" s="13"/>
      <c r="C13" s="13"/>
      <c r="D13" s="13"/>
      <c r="E13" s="14"/>
      <c r="F13" s="13"/>
      <c r="G13" s="13"/>
    </row>
    <row r="14" customFormat="false" ht="15" hidden="false" customHeight="false" outlineLevel="0" collapsed="false">
      <c r="A14" s="12"/>
      <c r="B14" s="13"/>
      <c r="C14" s="13"/>
      <c r="D14" s="13"/>
      <c r="E14" s="14"/>
      <c r="F14" s="13"/>
      <c r="G14" s="13"/>
    </row>
    <row r="15" customFormat="false" ht="15" hidden="false" customHeight="false" outlineLevel="0" collapsed="false">
      <c r="A15" s="12"/>
      <c r="B15" s="13"/>
      <c r="C15" s="13"/>
      <c r="D15" s="13"/>
      <c r="E15" s="14"/>
      <c r="F15" s="13"/>
      <c r="G15" s="13"/>
    </row>
    <row r="16" customFormat="false" ht="15" hidden="false" customHeight="false" outlineLevel="0" collapsed="false">
      <c r="A16" s="12"/>
      <c r="B16" s="13"/>
      <c r="C16" s="13"/>
      <c r="D16" s="13"/>
      <c r="E16" s="14"/>
      <c r="F16" s="13"/>
      <c r="G16" s="13"/>
    </row>
    <row r="17" customFormat="false" ht="15" hidden="false" customHeight="false" outlineLevel="0" collapsed="false">
      <c r="A17" s="12"/>
      <c r="B17" s="13"/>
      <c r="C17" s="13"/>
      <c r="D17" s="13"/>
      <c r="E17" s="14"/>
      <c r="F17" s="13"/>
      <c r="G17" s="13"/>
    </row>
    <row r="18" customFormat="false" ht="15" hidden="false" customHeight="false" outlineLevel="0" collapsed="false">
      <c r="A18" s="12"/>
      <c r="B18" s="13"/>
      <c r="C18" s="13"/>
      <c r="D18" s="13"/>
      <c r="E18" s="14"/>
      <c r="F18" s="13"/>
      <c r="G18" s="13"/>
    </row>
    <row r="19" customFormat="false" ht="15" hidden="false" customHeight="false" outlineLevel="0" collapsed="false">
      <c r="A19" s="12"/>
      <c r="B19" s="13"/>
      <c r="C19" s="13"/>
      <c r="D19" s="13"/>
      <c r="E19" s="14"/>
      <c r="F19" s="13"/>
      <c r="G19" s="13"/>
    </row>
    <row r="20" customFormat="false" ht="15" hidden="false" customHeight="false" outlineLevel="0" collapsed="false">
      <c r="A20" s="12"/>
      <c r="B20" s="13"/>
      <c r="C20" s="13"/>
      <c r="D20" s="13"/>
      <c r="E20" s="14"/>
      <c r="F20" s="13"/>
      <c r="G20" s="13"/>
    </row>
    <row r="21" customFormat="false" ht="15" hidden="false" customHeight="false" outlineLevel="0" collapsed="false">
      <c r="A21" s="12"/>
      <c r="B21" s="13"/>
      <c r="C21" s="13"/>
      <c r="D21" s="13"/>
      <c r="E21" s="14"/>
      <c r="F21" s="13"/>
      <c r="G21" s="13"/>
    </row>
    <row r="22" customFormat="false" ht="15" hidden="false" customHeight="false" outlineLevel="0" collapsed="false">
      <c r="A22" s="12"/>
      <c r="B22" s="13"/>
      <c r="C22" s="13"/>
      <c r="D22" s="13"/>
      <c r="E22" s="14"/>
      <c r="F22" s="13"/>
      <c r="G22" s="13"/>
    </row>
    <row r="23" customFormat="false" ht="15" hidden="false" customHeight="false" outlineLevel="0" collapsed="false">
      <c r="A23" s="12"/>
      <c r="B23" s="13"/>
      <c r="C23" s="13"/>
      <c r="D23" s="13"/>
      <c r="E23" s="14"/>
      <c r="F23" s="13"/>
      <c r="G23" s="13"/>
    </row>
    <row r="24" customFormat="false" ht="15" hidden="false" customHeight="false" outlineLevel="0" collapsed="false">
      <c r="A24" s="12"/>
      <c r="B24" s="13"/>
      <c r="C24" s="13"/>
      <c r="D24" s="13"/>
      <c r="E24" s="14"/>
      <c r="F24" s="13"/>
      <c r="G24" s="13"/>
    </row>
    <row r="25" customFormat="false" ht="15" hidden="false" customHeight="false" outlineLevel="0" collapsed="false">
      <c r="A25" s="12"/>
      <c r="B25" s="13"/>
      <c r="C25" s="13"/>
      <c r="D25" s="13"/>
      <c r="E25" s="14"/>
      <c r="F25" s="13"/>
      <c r="G25" s="13"/>
    </row>
    <row r="26" customFormat="false" ht="15" hidden="false" customHeight="false" outlineLevel="0" collapsed="false">
      <c r="A26" s="12"/>
      <c r="B26" s="13"/>
      <c r="C26" s="13"/>
      <c r="D26" s="13"/>
      <c r="E26" s="14"/>
      <c r="F26" s="13"/>
      <c r="G26" s="13"/>
    </row>
    <row r="27" customFormat="false" ht="15" hidden="false" customHeight="false" outlineLevel="0" collapsed="false">
      <c r="A27" s="12"/>
      <c r="B27" s="13"/>
      <c r="C27" s="13"/>
      <c r="D27" s="13"/>
      <c r="E27" s="14"/>
      <c r="F27" s="13"/>
      <c r="G27" s="13"/>
    </row>
    <row r="28" customFormat="false" ht="15" hidden="false" customHeight="false" outlineLevel="0" collapsed="false">
      <c r="A28" s="12"/>
      <c r="B28" s="13"/>
      <c r="C28" s="13"/>
      <c r="D28" s="13"/>
      <c r="E28" s="14"/>
      <c r="F28" s="13"/>
      <c r="G28" s="13"/>
    </row>
    <row r="29" customFormat="false" ht="15" hidden="false" customHeight="false" outlineLevel="0" collapsed="false">
      <c r="A29" s="12"/>
      <c r="B29" s="13"/>
      <c r="C29" s="13"/>
      <c r="D29" s="13"/>
      <c r="E29" s="14"/>
      <c r="F29" s="13"/>
      <c r="G29" s="13"/>
    </row>
    <row r="30" customFormat="false" ht="15" hidden="false" customHeight="false" outlineLevel="0" collapsed="false">
      <c r="A30" s="12"/>
      <c r="B30" s="13"/>
      <c r="C30" s="13"/>
      <c r="D30" s="13"/>
      <c r="E30" s="14"/>
      <c r="F30" s="13"/>
      <c r="G30" s="13"/>
    </row>
    <row r="31" customFormat="false" ht="15" hidden="false" customHeight="false" outlineLevel="0" collapsed="false">
      <c r="A31" s="12"/>
      <c r="B31" s="13"/>
      <c r="C31" s="13"/>
      <c r="D31" s="13"/>
      <c r="E31" s="14"/>
      <c r="F31" s="13"/>
      <c r="G31" s="13"/>
    </row>
    <row r="32" customFormat="false" ht="15" hidden="false" customHeight="false" outlineLevel="0" collapsed="false">
      <c r="A32" s="12"/>
      <c r="B32" s="13"/>
      <c r="C32" s="13"/>
      <c r="D32" s="13"/>
      <c r="E32" s="14"/>
      <c r="F32" s="13"/>
      <c r="G32" s="13"/>
    </row>
    <row r="33" customFormat="false" ht="15" hidden="false" customHeight="false" outlineLevel="0" collapsed="false">
      <c r="A33" s="12"/>
      <c r="B33" s="13"/>
      <c r="C33" s="13"/>
      <c r="D33" s="13"/>
      <c r="E33" s="14"/>
      <c r="F33" s="13"/>
      <c r="G33" s="13"/>
    </row>
    <row r="34" customFormat="false" ht="15" hidden="false" customHeight="false" outlineLevel="0" collapsed="false">
      <c r="A34" s="12"/>
      <c r="B34" s="13"/>
      <c r="C34" s="13"/>
      <c r="D34" s="13"/>
      <c r="E34" s="14"/>
      <c r="F34" s="13"/>
      <c r="G34" s="13"/>
    </row>
    <row r="35" customFormat="false" ht="15" hidden="false" customHeight="false" outlineLevel="0" collapsed="false">
      <c r="A35" s="12"/>
      <c r="B35" s="13"/>
      <c r="C35" s="13"/>
      <c r="D35" s="13"/>
      <c r="E35" s="14"/>
      <c r="F35" s="13"/>
      <c r="G35" s="13"/>
    </row>
    <row r="36" customFormat="false" ht="15" hidden="false" customHeight="false" outlineLevel="0" collapsed="false">
      <c r="A36" s="12"/>
      <c r="B36" s="13"/>
      <c r="C36" s="13"/>
      <c r="D36" s="13"/>
      <c r="E36" s="14"/>
      <c r="F36" s="13"/>
      <c r="G36" s="13"/>
    </row>
    <row r="37" customFormat="false" ht="15" hidden="false" customHeight="false" outlineLevel="0" collapsed="false">
      <c r="A37" s="12"/>
      <c r="B37" s="13"/>
      <c r="C37" s="13"/>
      <c r="D37" s="13"/>
      <c r="E37" s="14"/>
      <c r="F37" s="13"/>
      <c r="G37" s="13"/>
    </row>
    <row r="38" customFormat="false" ht="15" hidden="false" customHeight="false" outlineLevel="0" collapsed="false">
      <c r="A38" s="12"/>
      <c r="B38" s="13"/>
      <c r="C38" s="13"/>
      <c r="D38" s="13"/>
      <c r="E38" s="14"/>
      <c r="F38" s="13"/>
      <c r="G38" s="13"/>
    </row>
    <row r="39" customFormat="false" ht="15" hidden="false" customHeight="false" outlineLevel="0" collapsed="false">
      <c r="A39" s="12"/>
      <c r="B39" s="13"/>
      <c r="C39" s="13"/>
      <c r="D39" s="13"/>
      <c r="E39" s="14"/>
      <c r="F39" s="13"/>
      <c r="G39" s="13"/>
    </row>
    <row r="40" customFormat="false" ht="15" hidden="false" customHeight="false" outlineLevel="0" collapsed="false">
      <c r="A40" s="12"/>
      <c r="B40" s="13"/>
      <c r="C40" s="13"/>
      <c r="D40" s="13"/>
      <c r="E40" s="14"/>
      <c r="F40" s="13"/>
      <c r="G40" s="13"/>
    </row>
    <row r="41" customFormat="false" ht="15" hidden="false" customHeight="false" outlineLevel="0" collapsed="false">
      <c r="A41" s="12"/>
      <c r="B41" s="13"/>
      <c r="C41" s="13"/>
      <c r="D41" s="13"/>
      <c r="E41" s="14"/>
      <c r="F41" s="13"/>
      <c r="G41" s="13"/>
    </row>
    <row r="42" customFormat="false" ht="15" hidden="false" customHeight="false" outlineLevel="0" collapsed="false">
      <c r="A42" s="12"/>
      <c r="B42" s="13"/>
      <c r="C42" s="13"/>
      <c r="D42" s="13"/>
      <c r="E42" s="14"/>
      <c r="F42" s="13"/>
      <c r="G42" s="13"/>
    </row>
    <row r="43" customFormat="false" ht="15" hidden="false" customHeight="false" outlineLevel="0" collapsed="false">
      <c r="A43" s="12"/>
      <c r="B43" s="13"/>
      <c r="C43" s="13"/>
      <c r="D43" s="13"/>
      <c r="E43" s="14"/>
      <c r="F43" s="13"/>
      <c r="G43" s="13"/>
    </row>
    <row r="44" customFormat="false" ht="15" hidden="false" customHeight="false" outlineLevel="0" collapsed="false">
      <c r="A44" s="12"/>
      <c r="B44" s="13"/>
      <c r="C44" s="13"/>
      <c r="D44" s="13"/>
      <c r="E44" s="14"/>
      <c r="F44" s="13"/>
      <c r="G44" s="13"/>
    </row>
    <row r="45" customFormat="false" ht="15" hidden="false" customHeight="false" outlineLevel="0" collapsed="false">
      <c r="A45" s="12"/>
      <c r="B45" s="13"/>
      <c r="C45" s="13"/>
      <c r="D45" s="13"/>
      <c r="E45" s="14"/>
      <c r="F45" s="13"/>
      <c r="G45" s="13"/>
    </row>
    <row r="46" customFormat="false" ht="15" hidden="false" customHeight="false" outlineLevel="0" collapsed="false">
      <c r="A46" s="12"/>
      <c r="B46" s="13"/>
      <c r="C46" s="13"/>
      <c r="D46" s="13"/>
      <c r="E46" s="14"/>
      <c r="F46" s="13"/>
      <c r="G46" s="13"/>
    </row>
    <row r="47" customFormat="false" ht="15" hidden="false" customHeight="false" outlineLevel="0" collapsed="false">
      <c r="A47" s="12"/>
      <c r="B47" s="13"/>
      <c r="C47" s="13"/>
      <c r="D47" s="13"/>
      <c r="E47" s="14"/>
      <c r="F47" s="13"/>
      <c r="G47" s="13"/>
    </row>
    <row r="48" customFormat="false" ht="15" hidden="false" customHeight="false" outlineLevel="0" collapsed="false">
      <c r="A48" s="12"/>
      <c r="B48" s="13"/>
      <c r="C48" s="13"/>
      <c r="D48" s="13"/>
      <c r="E48" s="14"/>
      <c r="F48" s="13"/>
      <c r="G48" s="13"/>
    </row>
    <row r="49" customFormat="false" ht="15" hidden="false" customHeight="false" outlineLevel="0" collapsed="false">
      <c r="A49" s="12"/>
      <c r="B49" s="13"/>
      <c r="C49" s="13"/>
      <c r="D49" s="13"/>
      <c r="E49" s="14"/>
      <c r="F49" s="13"/>
      <c r="G49" s="13"/>
    </row>
    <row r="50" customFormat="false" ht="15" hidden="false" customHeight="false" outlineLevel="0" collapsed="false">
      <c r="A50" s="12"/>
      <c r="B50" s="13"/>
      <c r="C50" s="13"/>
      <c r="D50" s="13"/>
      <c r="E50" s="14"/>
      <c r="F50" s="13"/>
      <c r="G50" s="13"/>
    </row>
    <row r="51" customFormat="false" ht="15" hidden="false" customHeight="false" outlineLevel="0" collapsed="false">
      <c r="A51" s="12"/>
      <c r="B51" s="13"/>
      <c r="C51" s="13"/>
      <c r="D51" s="13"/>
      <c r="E51" s="14"/>
      <c r="F51" s="13"/>
      <c r="G51" s="13"/>
    </row>
    <row r="52" customFormat="false" ht="15" hidden="false" customHeight="false" outlineLevel="0" collapsed="false">
      <c r="A52" s="12"/>
      <c r="B52" s="13"/>
      <c r="C52" s="13"/>
      <c r="D52" s="13"/>
      <c r="E52" s="14"/>
      <c r="F52" s="13"/>
      <c r="G52" s="13"/>
    </row>
    <row r="53" customFormat="false" ht="15" hidden="false" customHeight="false" outlineLevel="0" collapsed="false">
      <c r="A53" s="12"/>
      <c r="B53" s="13"/>
      <c r="C53" s="13"/>
      <c r="D53" s="13"/>
      <c r="E53" s="14"/>
      <c r="F53" s="13"/>
      <c r="G53" s="13"/>
    </row>
    <row r="54" customFormat="false" ht="15" hidden="false" customHeight="false" outlineLevel="0" collapsed="false">
      <c r="A54" s="12"/>
      <c r="B54" s="13"/>
      <c r="C54" s="13"/>
      <c r="D54" s="13"/>
      <c r="E54" s="14"/>
      <c r="F54" s="13"/>
      <c r="G54" s="13"/>
    </row>
    <row r="55" customFormat="false" ht="15" hidden="false" customHeight="false" outlineLevel="0" collapsed="false">
      <c r="A55" s="12"/>
      <c r="B55" s="13"/>
      <c r="C55" s="13"/>
      <c r="D55" s="13"/>
      <c r="E55" s="14"/>
      <c r="F55" s="13"/>
      <c r="G55" s="13"/>
    </row>
    <row r="56" customFormat="false" ht="15" hidden="false" customHeight="false" outlineLevel="0" collapsed="false">
      <c r="A56" s="12"/>
      <c r="B56" s="13"/>
      <c r="C56" s="13"/>
      <c r="D56" s="13"/>
      <c r="E56" s="14"/>
      <c r="F56" s="13"/>
      <c r="G56" s="13"/>
    </row>
    <row r="57" customFormat="false" ht="15" hidden="false" customHeight="false" outlineLevel="0" collapsed="false">
      <c r="A57" s="12"/>
      <c r="B57" s="13"/>
      <c r="C57" s="13"/>
      <c r="D57" s="13"/>
      <c r="E57" s="14"/>
      <c r="F57" s="13"/>
      <c r="G57" s="13"/>
    </row>
    <row r="58" customFormat="false" ht="15" hidden="false" customHeight="false" outlineLevel="0" collapsed="false">
      <c r="A58" s="12"/>
      <c r="B58" s="13"/>
      <c r="C58" s="13"/>
      <c r="D58" s="13"/>
      <c r="E58" s="14"/>
      <c r="F58" s="13"/>
      <c r="G58" s="13"/>
    </row>
    <row r="59" customFormat="false" ht="15" hidden="false" customHeight="false" outlineLevel="0" collapsed="false">
      <c r="A59" s="12"/>
      <c r="B59" s="13"/>
      <c r="C59" s="13"/>
      <c r="D59" s="13"/>
      <c r="E59" s="14"/>
      <c r="F59" s="13"/>
      <c r="G59" s="13"/>
    </row>
    <row r="60" customFormat="false" ht="15" hidden="false" customHeight="false" outlineLevel="0" collapsed="false">
      <c r="A60" s="12"/>
      <c r="B60" s="13"/>
      <c r="C60" s="13"/>
      <c r="D60" s="13"/>
      <c r="E60" s="14"/>
      <c r="F60" s="13"/>
      <c r="G60" s="13"/>
    </row>
    <row r="61" customFormat="false" ht="15" hidden="false" customHeight="false" outlineLevel="0" collapsed="false">
      <c r="A61" s="12"/>
      <c r="B61" s="13"/>
      <c r="C61" s="13"/>
      <c r="D61" s="13"/>
      <c r="E61" s="14"/>
      <c r="F61" s="13"/>
      <c r="G61" s="13"/>
    </row>
    <row r="62" customFormat="false" ht="15" hidden="false" customHeight="false" outlineLevel="0" collapsed="false">
      <c r="A62" s="12"/>
      <c r="B62" s="13"/>
      <c r="C62" s="13"/>
      <c r="D62" s="13"/>
      <c r="E62" s="14"/>
      <c r="F62" s="13"/>
      <c r="G62" s="13"/>
    </row>
    <row r="63" customFormat="false" ht="15" hidden="false" customHeight="false" outlineLevel="0" collapsed="false">
      <c r="A63" s="12"/>
      <c r="B63" s="13"/>
      <c r="C63" s="13"/>
      <c r="D63" s="13"/>
      <c r="E63" s="14"/>
      <c r="F63" s="13"/>
      <c r="G63" s="13"/>
    </row>
    <row r="64" customFormat="false" ht="15" hidden="false" customHeight="false" outlineLevel="0" collapsed="false">
      <c r="A64" s="12"/>
      <c r="B64" s="13"/>
      <c r="C64" s="13"/>
      <c r="D64" s="13"/>
      <c r="E64" s="14"/>
      <c r="F64" s="13"/>
      <c r="G64" s="13"/>
    </row>
  </sheetData>
  <mergeCells count="2">
    <mergeCell ref="A1:G1"/>
    <mergeCell ref="A2:G2"/>
  </mergeCells>
  <conditionalFormatting sqref="A5:G64">
    <cfRule type="expression" priority="2" aboveAverage="0" equalAverage="0" bottom="0" percent="0" rank="0" text="" dxfId="0">
      <formula>$F5="Received"</formula>
    </cfRule>
    <cfRule type="expression" priority="3" aboveAverage="0" equalAverage="0" bottom="0" percent="0" rank="0" text="" dxfId="1">
      <formula>$F5="Outstanding"</formula>
    </cfRule>
  </conditionalFormatting>
  <dataValidations count="2">
    <dataValidation allowBlank="true" errorStyle="stop" operator="between" showDropDown="false" showErrorMessage="false" showInputMessage="false" sqref="D5:D64" type="list">
      <formula1>"Day Rate,Hourly,Retainer,Percentage Fee,Other"</formula1>
      <formula2>0</formula2>
    </dataValidation>
    <dataValidation allowBlank="true" errorStyle="stop" operator="between" showDropDown="false" showErrorMessage="false" showInputMessage="false" sqref="F5:F64" type="list">
      <formula1>"Received,Outstanding"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7" min="5" style="0" width="16"/>
    <col collapsed="false" customWidth="true" hidden="false" outlineLevel="0" max="8" min="8" style="0" width="14"/>
    <col collapsed="false" customWidth="true" hidden="false" outlineLevel="0" max="9" min="9" style="0" width="24"/>
  </cols>
  <sheetData>
    <row r="1" customFormat="false" ht="24" hidden="false" customHeight="true" outlineLevel="0" collapsed="false">
      <c r="A1" s="10" t="s">
        <v>26</v>
      </c>
      <c r="B1" s="10"/>
      <c r="C1" s="10"/>
      <c r="D1" s="10"/>
      <c r="E1" s="10"/>
      <c r="F1" s="10"/>
      <c r="G1" s="10"/>
      <c r="H1" s="10"/>
      <c r="I1" s="10"/>
    </row>
    <row r="2" customFormat="false" ht="15.75" hidden="false" customHeight="true" outlineLevel="0" collapsed="false">
      <c r="A2" s="9" t="s">
        <v>27</v>
      </c>
      <c r="B2" s="9"/>
      <c r="C2" s="9"/>
      <c r="D2" s="9"/>
      <c r="E2" s="9"/>
      <c r="F2" s="9"/>
      <c r="G2" s="9"/>
      <c r="H2" s="9"/>
      <c r="I2" s="9"/>
    </row>
    <row r="4" customFormat="false" ht="31.5" hidden="false" customHeight="true" outlineLevel="0" collapsed="false">
      <c r="A4" s="11" t="s">
        <v>19</v>
      </c>
      <c r="B4" s="11" t="s">
        <v>21</v>
      </c>
      <c r="C4" s="11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25</v>
      </c>
    </row>
    <row r="5" customFormat="false" ht="15" hidden="false" customHeight="false" outlineLevel="0" collapsed="false">
      <c r="A5" s="12"/>
      <c r="B5" s="13"/>
      <c r="C5" s="13"/>
      <c r="D5" s="13"/>
      <c r="E5" s="15"/>
      <c r="F5" s="16" t="str">
        <f aca="false">IF(OR(D5="",E5=""),"",D5*E5)</f>
        <v/>
      </c>
      <c r="G5" s="15"/>
      <c r="H5" s="16" t="n">
        <f aca="false">SUM(F5,G5)</f>
        <v>0</v>
      </c>
      <c r="I5" s="13"/>
    </row>
    <row r="6" customFormat="false" ht="15" hidden="false" customHeight="false" outlineLevel="0" collapsed="false">
      <c r="A6" s="12"/>
      <c r="B6" s="13"/>
      <c r="C6" s="13"/>
      <c r="D6" s="13"/>
      <c r="E6" s="15"/>
      <c r="F6" s="16" t="str">
        <f aca="false">IF(OR(D6="",E6=""),"",D6*E6)</f>
        <v/>
      </c>
      <c r="G6" s="15"/>
      <c r="H6" s="16" t="n">
        <f aca="false">SUM(F6,G6)</f>
        <v>0</v>
      </c>
      <c r="I6" s="13"/>
    </row>
    <row r="7" customFormat="false" ht="15" hidden="false" customHeight="false" outlineLevel="0" collapsed="false">
      <c r="A7" s="12"/>
      <c r="B7" s="13"/>
      <c r="C7" s="13"/>
      <c r="D7" s="13"/>
      <c r="E7" s="15"/>
      <c r="F7" s="16" t="str">
        <f aca="false">IF(OR(D7="",E7=""),"",D7*E7)</f>
        <v/>
      </c>
      <c r="G7" s="15"/>
      <c r="H7" s="16" t="n">
        <f aca="false">SUM(F7,G7)</f>
        <v>0</v>
      </c>
      <c r="I7" s="13"/>
    </row>
    <row r="8" customFormat="false" ht="15" hidden="false" customHeight="false" outlineLevel="0" collapsed="false">
      <c r="A8" s="12"/>
      <c r="B8" s="13"/>
      <c r="C8" s="13"/>
      <c r="D8" s="13"/>
      <c r="E8" s="15"/>
      <c r="F8" s="16" t="str">
        <f aca="false">IF(OR(D8="",E8=""),"",D8*E8)</f>
        <v/>
      </c>
      <c r="G8" s="15"/>
      <c r="H8" s="16" t="n">
        <f aca="false">SUM(F8,G8)</f>
        <v>0</v>
      </c>
      <c r="I8" s="13"/>
    </row>
    <row r="9" customFormat="false" ht="15" hidden="false" customHeight="false" outlineLevel="0" collapsed="false">
      <c r="A9" s="12"/>
      <c r="B9" s="13"/>
      <c r="C9" s="13"/>
      <c r="D9" s="13"/>
      <c r="E9" s="15"/>
      <c r="F9" s="16" t="str">
        <f aca="false">IF(OR(D9="",E9=""),"",D9*E9)</f>
        <v/>
      </c>
      <c r="G9" s="15"/>
      <c r="H9" s="16" t="n">
        <f aca="false">SUM(F9,G9)</f>
        <v>0</v>
      </c>
      <c r="I9" s="13"/>
    </row>
    <row r="10" customFormat="false" ht="15" hidden="false" customHeight="false" outlineLevel="0" collapsed="false">
      <c r="A10" s="12"/>
      <c r="B10" s="13"/>
      <c r="C10" s="13"/>
      <c r="D10" s="13"/>
      <c r="E10" s="15"/>
      <c r="F10" s="16" t="str">
        <f aca="false">IF(OR(D10="",E10=""),"",D10*E10)</f>
        <v/>
      </c>
      <c r="G10" s="15"/>
      <c r="H10" s="16" t="n">
        <f aca="false">SUM(F10,G10)</f>
        <v>0</v>
      </c>
      <c r="I10" s="13"/>
    </row>
    <row r="11" customFormat="false" ht="15" hidden="false" customHeight="false" outlineLevel="0" collapsed="false">
      <c r="A11" s="12"/>
      <c r="B11" s="13"/>
      <c r="C11" s="13"/>
      <c r="D11" s="13"/>
      <c r="E11" s="15"/>
      <c r="F11" s="16" t="str">
        <f aca="false">IF(OR(D11="",E11=""),"",D11*E11)</f>
        <v/>
      </c>
      <c r="G11" s="15"/>
      <c r="H11" s="16" t="n">
        <f aca="false">SUM(F11,G11)</f>
        <v>0</v>
      </c>
      <c r="I11" s="13"/>
    </row>
    <row r="12" customFormat="false" ht="15" hidden="false" customHeight="false" outlineLevel="0" collapsed="false">
      <c r="A12" s="12"/>
      <c r="B12" s="13"/>
      <c r="C12" s="13"/>
      <c r="D12" s="13"/>
      <c r="E12" s="15"/>
      <c r="F12" s="16" t="str">
        <f aca="false">IF(OR(D12="",E12=""),"",D12*E12)</f>
        <v/>
      </c>
      <c r="G12" s="15"/>
      <c r="H12" s="16" t="n">
        <f aca="false">SUM(F12,G12)</f>
        <v>0</v>
      </c>
      <c r="I12" s="13"/>
    </row>
    <row r="13" customFormat="false" ht="15" hidden="false" customHeight="false" outlineLevel="0" collapsed="false">
      <c r="A13" s="12"/>
      <c r="B13" s="13"/>
      <c r="C13" s="13"/>
      <c r="D13" s="13"/>
      <c r="E13" s="15"/>
      <c r="F13" s="16" t="str">
        <f aca="false">IF(OR(D13="",E13=""),"",D13*E13)</f>
        <v/>
      </c>
      <c r="G13" s="15"/>
      <c r="H13" s="16" t="n">
        <f aca="false">SUM(F13,G13)</f>
        <v>0</v>
      </c>
      <c r="I13" s="13"/>
    </row>
    <row r="14" customFormat="false" ht="15" hidden="false" customHeight="false" outlineLevel="0" collapsed="false">
      <c r="A14" s="12"/>
      <c r="B14" s="13"/>
      <c r="C14" s="13"/>
      <c r="D14" s="13"/>
      <c r="E14" s="15"/>
      <c r="F14" s="16" t="str">
        <f aca="false">IF(OR(D14="",E14=""),"",D14*E14)</f>
        <v/>
      </c>
      <c r="G14" s="15"/>
      <c r="H14" s="16" t="n">
        <f aca="false">SUM(F14,G14)</f>
        <v>0</v>
      </c>
      <c r="I14" s="13"/>
    </row>
    <row r="15" customFormat="false" ht="15" hidden="false" customHeight="false" outlineLevel="0" collapsed="false">
      <c r="A15" s="12"/>
      <c r="B15" s="13"/>
      <c r="C15" s="13"/>
      <c r="D15" s="13"/>
      <c r="E15" s="15"/>
      <c r="F15" s="16" t="str">
        <f aca="false">IF(OR(D15="",E15=""),"",D15*E15)</f>
        <v/>
      </c>
      <c r="G15" s="15"/>
      <c r="H15" s="16" t="n">
        <f aca="false">SUM(F15,G15)</f>
        <v>0</v>
      </c>
      <c r="I15" s="13"/>
    </row>
    <row r="16" customFormat="false" ht="15" hidden="false" customHeight="false" outlineLevel="0" collapsed="false">
      <c r="A16" s="12"/>
      <c r="B16" s="13"/>
      <c r="C16" s="13"/>
      <c r="D16" s="13"/>
      <c r="E16" s="15"/>
      <c r="F16" s="16" t="str">
        <f aca="false">IF(OR(D16="",E16=""),"",D16*E16)</f>
        <v/>
      </c>
      <c r="G16" s="15"/>
      <c r="H16" s="16" t="n">
        <f aca="false">SUM(F16,G16)</f>
        <v>0</v>
      </c>
      <c r="I16" s="13"/>
    </row>
    <row r="17" customFormat="false" ht="15" hidden="false" customHeight="false" outlineLevel="0" collapsed="false">
      <c r="A17" s="12"/>
      <c r="B17" s="13"/>
      <c r="C17" s="13"/>
      <c r="D17" s="13"/>
      <c r="E17" s="15"/>
      <c r="F17" s="16" t="str">
        <f aca="false">IF(OR(D17="",E17=""),"",D17*E17)</f>
        <v/>
      </c>
      <c r="G17" s="15"/>
      <c r="H17" s="16" t="n">
        <f aca="false">SUM(F17,G17)</f>
        <v>0</v>
      </c>
      <c r="I17" s="13"/>
    </row>
    <row r="18" customFormat="false" ht="15" hidden="false" customHeight="false" outlineLevel="0" collapsed="false">
      <c r="A18" s="12"/>
      <c r="B18" s="13"/>
      <c r="C18" s="13"/>
      <c r="D18" s="13"/>
      <c r="E18" s="15"/>
      <c r="F18" s="16" t="str">
        <f aca="false">IF(OR(D18="",E18=""),"",D18*E18)</f>
        <v/>
      </c>
      <c r="G18" s="15"/>
      <c r="H18" s="16" t="n">
        <f aca="false">SUM(F18,G18)</f>
        <v>0</v>
      </c>
      <c r="I18" s="13"/>
    </row>
    <row r="19" customFormat="false" ht="15" hidden="false" customHeight="false" outlineLevel="0" collapsed="false">
      <c r="A19" s="12"/>
      <c r="B19" s="13"/>
      <c r="C19" s="13"/>
      <c r="D19" s="13"/>
      <c r="E19" s="15"/>
      <c r="F19" s="16" t="str">
        <f aca="false">IF(OR(D19="",E19=""),"",D19*E19)</f>
        <v/>
      </c>
      <c r="G19" s="15"/>
      <c r="H19" s="16" t="n">
        <f aca="false">SUM(F19,G19)</f>
        <v>0</v>
      </c>
      <c r="I19" s="13"/>
    </row>
    <row r="20" customFormat="false" ht="15" hidden="false" customHeight="false" outlineLevel="0" collapsed="false">
      <c r="A20" s="12"/>
      <c r="B20" s="13"/>
      <c r="C20" s="13"/>
      <c r="D20" s="13"/>
      <c r="E20" s="15"/>
      <c r="F20" s="16" t="str">
        <f aca="false">IF(OR(D20="",E20=""),"",D20*E20)</f>
        <v/>
      </c>
      <c r="G20" s="15"/>
      <c r="H20" s="16" t="n">
        <f aca="false">SUM(F20,G20)</f>
        <v>0</v>
      </c>
      <c r="I20" s="13"/>
    </row>
    <row r="21" customFormat="false" ht="15" hidden="false" customHeight="false" outlineLevel="0" collapsed="false">
      <c r="A21" s="12"/>
      <c r="B21" s="13"/>
      <c r="C21" s="13"/>
      <c r="D21" s="13"/>
      <c r="E21" s="15"/>
      <c r="F21" s="16" t="str">
        <f aca="false">IF(OR(D21="",E21=""),"",D21*E21)</f>
        <v/>
      </c>
      <c r="G21" s="15"/>
      <c r="H21" s="16" t="n">
        <f aca="false">SUM(F21,G21)</f>
        <v>0</v>
      </c>
      <c r="I21" s="13"/>
    </row>
    <row r="22" customFormat="false" ht="15" hidden="false" customHeight="false" outlineLevel="0" collapsed="false">
      <c r="A22" s="12"/>
      <c r="B22" s="13"/>
      <c r="C22" s="13"/>
      <c r="D22" s="13"/>
      <c r="E22" s="15"/>
      <c r="F22" s="16" t="str">
        <f aca="false">IF(OR(D22="",E22=""),"",D22*E22)</f>
        <v/>
      </c>
      <c r="G22" s="15"/>
      <c r="H22" s="16" t="n">
        <f aca="false">SUM(F22,G22)</f>
        <v>0</v>
      </c>
      <c r="I22" s="13"/>
    </row>
    <row r="23" customFormat="false" ht="15" hidden="false" customHeight="false" outlineLevel="0" collapsed="false">
      <c r="A23" s="12"/>
      <c r="B23" s="13"/>
      <c r="C23" s="13"/>
      <c r="D23" s="13"/>
      <c r="E23" s="15"/>
      <c r="F23" s="16" t="str">
        <f aca="false">IF(OR(D23="",E23=""),"",D23*E23)</f>
        <v/>
      </c>
      <c r="G23" s="15"/>
      <c r="H23" s="16" t="n">
        <f aca="false">SUM(F23,G23)</f>
        <v>0</v>
      </c>
      <c r="I23" s="13"/>
    </row>
    <row r="24" customFormat="false" ht="15" hidden="false" customHeight="false" outlineLevel="0" collapsed="false">
      <c r="A24" s="12"/>
      <c r="B24" s="13"/>
      <c r="C24" s="13"/>
      <c r="D24" s="13"/>
      <c r="E24" s="15"/>
      <c r="F24" s="16" t="str">
        <f aca="false">IF(OR(D24="",E24=""),"",D24*E24)</f>
        <v/>
      </c>
      <c r="G24" s="15"/>
      <c r="H24" s="16" t="n">
        <f aca="false">SUM(F24,G24)</f>
        <v>0</v>
      </c>
      <c r="I24" s="13"/>
    </row>
    <row r="25" customFormat="false" ht="15" hidden="false" customHeight="false" outlineLevel="0" collapsed="false">
      <c r="A25" s="12"/>
      <c r="B25" s="13"/>
      <c r="C25" s="13"/>
      <c r="D25" s="13"/>
      <c r="E25" s="15"/>
      <c r="F25" s="16" t="str">
        <f aca="false">IF(OR(D25="",E25=""),"",D25*E25)</f>
        <v/>
      </c>
      <c r="G25" s="15"/>
      <c r="H25" s="16" t="n">
        <f aca="false">SUM(F25,G25)</f>
        <v>0</v>
      </c>
      <c r="I25" s="13"/>
    </row>
    <row r="26" customFormat="false" ht="15" hidden="false" customHeight="false" outlineLevel="0" collapsed="false">
      <c r="A26" s="12"/>
      <c r="B26" s="13"/>
      <c r="C26" s="13"/>
      <c r="D26" s="13"/>
      <c r="E26" s="15"/>
      <c r="F26" s="16" t="str">
        <f aca="false">IF(OR(D26="",E26=""),"",D26*E26)</f>
        <v/>
      </c>
      <c r="G26" s="15"/>
      <c r="H26" s="16" t="n">
        <f aca="false">SUM(F26,G26)</f>
        <v>0</v>
      </c>
      <c r="I26" s="13"/>
    </row>
    <row r="27" customFormat="false" ht="15" hidden="false" customHeight="false" outlineLevel="0" collapsed="false">
      <c r="A27" s="12"/>
      <c r="B27" s="13"/>
      <c r="C27" s="13"/>
      <c r="D27" s="13"/>
      <c r="E27" s="15"/>
      <c r="F27" s="16" t="str">
        <f aca="false">IF(OR(D27="",E27=""),"",D27*E27)</f>
        <v/>
      </c>
      <c r="G27" s="15"/>
      <c r="H27" s="16" t="n">
        <f aca="false">SUM(F27,G27)</f>
        <v>0</v>
      </c>
      <c r="I27" s="13"/>
    </row>
    <row r="28" customFormat="false" ht="15" hidden="false" customHeight="false" outlineLevel="0" collapsed="false">
      <c r="A28" s="12"/>
      <c r="B28" s="13"/>
      <c r="C28" s="13"/>
      <c r="D28" s="13"/>
      <c r="E28" s="15"/>
      <c r="F28" s="16" t="str">
        <f aca="false">IF(OR(D28="",E28=""),"",D28*E28)</f>
        <v/>
      </c>
      <c r="G28" s="15"/>
      <c r="H28" s="16" t="n">
        <f aca="false">SUM(F28,G28)</f>
        <v>0</v>
      </c>
      <c r="I28" s="13"/>
    </row>
    <row r="29" customFormat="false" ht="15" hidden="false" customHeight="false" outlineLevel="0" collapsed="false">
      <c r="A29" s="12"/>
      <c r="B29" s="13"/>
      <c r="C29" s="13"/>
      <c r="D29" s="13"/>
      <c r="E29" s="15"/>
      <c r="F29" s="16" t="str">
        <f aca="false">IF(OR(D29="",E29=""),"",D29*E29)</f>
        <v/>
      </c>
      <c r="G29" s="15"/>
      <c r="H29" s="16" t="n">
        <f aca="false">SUM(F29,G29)</f>
        <v>0</v>
      </c>
      <c r="I29" s="13"/>
    </row>
    <row r="30" customFormat="false" ht="15" hidden="false" customHeight="false" outlineLevel="0" collapsed="false">
      <c r="A30" s="12"/>
      <c r="B30" s="13"/>
      <c r="C30" s="13"/>
      <c r="D30" s="13"/>
      <c r="E30" s="15"/>
      <c r="F30" s="16" t="str">
        <f aca="false">IF(OR(D30="",E30=""),"",D30*E30)</f>
        <v/>
      </c>
      <c r="G30" s="15"/>
      <c r="H30" s="16" t="n">
        <f aca="false">SUM(F30,G30)</f>
        <v>0</v>
      </c>
      <c r="I30" s="13"/>
    </row>
    <row r="31" customFormat="false" ht="15" hidden="false" customHeight="false" outlineLevel="0" collapsed="false">
      <c r="A31" s="12"/>
      <c r="B31" s="13"/>
      <c r="C31" s="13"/>
      <c r="D31" s="13"/>
      <c r="E31" s="15"/>
      <c r="F31" s="16" t="str">
        <f aca="false">IF(OR(D31="",E31=""),"",D31*E31)</f>
        <v/>
      </c>
      <c r="G31" s="15"/>
      <c r="H31" s="16" t="n">
        <f aca="false">SUM(F31,G31)</f>
        <v>0</v>
      </c>
      <c r="I31" s="13"/>
    </row>
    <row r="32" customFormat="false" ht="15" hidden="false" customHeight="false" outlineLevel="0" collapsed="false">
      <c r="A32" s="12"/>
      <c r="B32" s="13"/>
      <c r="C32" s="13"/>
      <c r="D32" s="13"/>
      <c r="E32" s="15"/>
      <c r="F32" s="16" t="str">
        <f aca="false">IF(OR(D32="",E32=""),"",D32*E32)</f>
        <v/>
      </c>
      <c r="G32" s="15"/>
      <c r="H32" s="16" t="n">
        <f aca="false">SUM(F32,G32)</f>
        <v>0</v>
      </c>
      <c r="I32" s="13"/>
    </row>
    <row r="33" customFormat="false" ht="15" hidden="false" customHeight="false" outlineLevel="0" collapsed="false">
      <c r="A33" s="12"/>
      <c r="B33" s="13"/>
      <c r="C33" s="13"/>
      <c r="D33" s="13"/>
      <c r="E33" s="15"/>
      <c r="F33" s="16" t="str">
        <f aca="false">IF(OR(D33="",E33=""),"",D33*E33)</f>
        <v/>
      </c>
      <c r="G33" s="15"/>
      <c r="H33" s="16" t="n">
        <f aca="false">SUM(F33,G33)</f>
        <v>0</v>
      </c>
      <c r="I33" s="13"/>
    </row>
    <row r="34" customFormat="false" ht="15" hidden="false" customHeight="false" outlineLevel="0" collapsed="false">
      <c r="A34" s="12"/>
      <c r="B34" s="13"/>
      <c r="C34" s="13"/>
      <c r="D34" s="13"/>
      <c r="E34" s="15"/>
      <c r="F34" s="16" t="str">
        <f aca="false">IF(OR(D34="",E34=""),"",D34*E34)</f>
        <v/>
      </c>
      <c r="G34" s="15"/>
      <c r="H34" s="16" t="n">
        <f aca="false">SUM(F34,G34)</f>
        <v>0</v>
      </c>
      <c r="I34" s="13"/>
    </row>
    <row r="35" customFormat="false" ht="15" hidden="false" customHeight="false" outlineLevel="0" collapsed="false">
      <c r="A35" s="12"/>
      <c r="B35" s="13"/>
      <c r="C35" s="13"/>
      <c r="D35" s="13"/>
      <c r="E35" s="15"/>
      <c r="F35" s="16" t="str">
        <f aca="false">IF(OR(D35="",E35=""),"",D35*E35)</f>
        <v/>
      </c>
      <c r="G35" s="15"/>
      <c r="H35" s="16" t="n">
        <f aca="false">SUM(F35,G35)</f>
        <v>0</v>
      </c>
      <c r="I35" s="13"/>
    </row>
    <row r="36" customFormat="false" ht="15" hidden="false" customHeight="false" outlineLevel="0" collapsed="false">
      <c r="A36" s="12"/>
      <c r="B36" s="13"/>
      <c r="C36" s="13"/>
      <c r="D36" s="13"/>
      <c r="E36" s="15"/>
      <c r="F36" s="16" t="str">
        <f aca="false">IF(OR(D36="",E36=""),"",D36*E36)</f>
        <v/>
      </c>
      <c r="G36" s="15"/>
      <c r="H36" s="16" t="n">
        <f aca="false">SUM(F36,G36)</f>
        <v>0</v>
      </c>
      <c r="I36" s="13"/>
    </row>
    <row r="37" customFormat="false" ht="15" hidden="false" customHeight="false" outlineLevel="0" collapsed="false">
      <c r="A37" s="12"/>
      <c r="B37" s="13"/>
      <c r="C37" s="13"/>
      <c r="D37" s="13"/>
      <c r="E37" s="15"/>
      <c r="F37" s="16" t="str">
        <f aca="false">IF(OR(D37="",E37=""),"",D37*E37)</f>
        <v/>
      </c>
      <c r="G37" s="15"/>
      <c r="H37" s="16" t="n">
        <f aca="false">SUM(F37,G37)</f>
        <v>0</v>
      </c>
      <c r="I37" s="13"/>
    </row>
    <row r="38" customFormat="false" ht="15" hidden="false" customHeight="false" outlineLevel="0" collapsed="false">
      <c r="A38" s="12"/>
      <c r="B38" s="13"/>
      <c r="C38" s="13"/>
      <c r="D38" s="13"/>
      <c r="E38" s="15"/>
      <c r="F38" s="16" t="str">
        <f aca="false">IF(OR(D38="",E38=""),"",D38*E38)</f>
        <v/>
      </c>
      <c r="G38" s="15"/>
      <c r="H38" s="16" t="n">
        <f aca="false">SUM(F38,G38)</f>
        <v>0</v>
      </c>
      <c r="I38" s="13"/>
    </row>
    <row r="39" customFormat="false" ht="15" hidden="false" customHeight="false" outlineLevel="0" collapsed="false">
      <c r="A39" s="12"/>
      <c r="B39" s="13"/>
      <c r="C39" s="13"/>
      <c r="D39" s="13"/>
      <c r="E39" s="15"/>
      <c r="F39" s="16" t="str">
        <f aca="false">IF(OR(D39="",E39=""),"",D39*E39)</f>
        <v/>
      </c>
      <c r="G39" s="15"/>
      <c r="H39" s="16" t="n">
        <f aca="false">SUM(F39,G39)</f>
        <v>0</v>
      </c>
      <c r="I39" s="13"/>
    </row>
    <row r="40" customFormat="false" ht="15" hidden="false" customHeight="false" outlineLevel="0" collapsed="false">
      <c r="A40" s="12"/>
      <c r="B40" s="13"/>
      <c r="C40" s="13"/>
      <c r="D40" s="13"/>
      <c r="E40" s="15"/>
      <c r="F40" s="16" t="str">
        <f aca="false">IF(OR(D40="",E40=""),"",D40*E40)</f>
        <v/>
      </c>
      <c r="G40" s="15"/>
      <c r="H40" s="16" t="n">
        <f aca="false">SUM(F40,G40)</f>
        <v>0</v>
      </c>
      <c r="I40" s="13"/>
    </row>
    <row r="41" customFormat="false" ht="15" hidden="false" customHeight="false" outlineLevel="0" collapsed="false">
      <c r="A41" s="12"/>
      <c r="B41" s="13"/>
      <c r="C41" s="13"/>
      <c r="D41" s="13"/>
      <c r="E41" s="15"/>
      <c r="F41" s="16" t="str">
        <f aca="false">IF(OR(D41="",E41=""),"",D41*E41)</f>
        <v/>
      </c>
      <c r="G41" s="15"/>
      <c r="H41" s="16" t="n">
        <f aca="false">SUM(F41,G41)</f>
        <v>0</v>
      </c>
      <c r="I41" s="13"/>
    </row>
    <row r="42" customFormat="false" ht="15" hidden="false" customHeight="false" outlineLevel="0" collapsed="false">
      <c r="A42" s="12"/>
      <c r="B42" s="13"/>
      <c r="C42" s="13"/>
      <c r="D42" s="13"/>
      <c r="E42" s="15"/>
      <c r="F42" s="16" t="str">
        <f aca="false">IF(OR(D42="",E42=""),"",D42*E42)</f>
        <v/>
      </c>
      <c r="G42" s="15"/>
      <c r="H42" s="16" t="n">
        <f aca="false">SUM(F42,G42)</f>
        <v>0</v>
      </c>
      <c r="I42" s="13"/>
    </row>
    <row r="43" customFormat="false" ht="15" hidden="false" customHeight="false" outlineLevel="0" collapsed="false">
      <c r="A43" s="12"/>
      <c r="B43" s="13"/>
      <c r="C43" s="13"/>
      <c r="D43" s="13"/>
      <c r="E43" s="15"/>
      <c r="F43" s="16" t="str">
        <f aca="false">IF(OR(D43="",E43=""),"",D43*E43)</f>
        <v/>
      </c>
      <c r="G43" s="15"/>
      <c r="H43" s="16" t="n">
        <f aca="false">SUM(F43,G43)</f>
        <v>0</v>
      </c>
      <c r="I43" s="13"/>
    </row>
    <row r="44" customFormat="false" ht="15" hidden="false" customHeight="false" outlineLevel="0" collapsed="false">
      <c r="A44" s="12"/>
      <c r="B44" s="13"/>
      <c r="C44" s="13"/>
      <c r="D44" s="13"/>
      <c r="E44" s="15"/>
      <c r="F44" s="16" t="str">
        <f aca="false">IF(OR(D44="",E44=""),"",D44*E44)</f>
        <v/>
      </c>
      <c r="G44" s="15"/>
      <c r="H44" s="16" t="n">
        <f aca="false">SUM(F44,G44)</f>
        <v>0</v>
      </c>
      <c r="I44" s="13"/>
    </row>
    <row r="45" customFormat="false" ht="15" hidden="false" customHeight="false" outlineLevel="0" collapsed="false">
      <c r="A45" s="12"/>
      <c r="B45" s="13"/>
      <c r="C45" s="13"/>
      <c r="D45" s="13"/>
      <c r="E45" s="15"/>
      <c r="F45" s="16" t="str">
        <f aca="false">IF(OR(D45="",E45=""),"",D45*E45)</f>
        <v/>
      </c>
      <c r="G45" s="15"/>
      <c r="H45" s="16" t="n">
        <f aca="false">SUM(F45,G45)</f>
        <v>0</v>
      </c>
      <c r="I45" s="13"/>
    </row>
    <row r="46" customFormat="false" ht="15" hidden="false" customHeight="false" outlineLevel="0" collapsed="false">
      <c r="A46" s="12"/>
      <c r="B46" s="13"/>
      <c r="C46" s="13"/>
      <c r="D46" s="13"/>
      <c r="E46" s="15"/>
      <c r="F46" s="16" t="str">
        <f aca="false">IF(OR(D46="",E46=""),"",D46*E46)</f>
        <v/>
      </c>
      <c r="G46" s="15"/>
      <c r="H46" s="16" t="n">
        <f aca="false">SUM(F46,G46)</f>
        <v>0</v>
      </c>
      <c r="I46" s="13"/>
    </row>
    <row r="47" customFormat="false" ht="15" hidden="false" customHeight="false" outlineLevel="0" collapsed="false">
      <c r="A47" s="12"/>
      <c r="B47" s="13"/>
      <c r="C47" s="13"/>
      <c r="D47" s="13"/>
      <c r="E47" s="15"/>
      <c r="F47" s="16" t="str">
        <f aca="false">IF(OR(D47="",E47=""),"",D47*E47)</f>
        <v/>
      </c>
      <c r="G47" s="15"/>
      <c r="H47" s="16" t="n">
        <f aca="false">SUM(F47,G47)</f>
        <v>0</v>
      </c>
      <c r="I47" s="13"/>
    </row>
    <row r="48" customFormat="false" ht="15" hidden="false" customHeight="false" outlineLevel="0" collapsed="false">
      <c r="A48" s="12"/>
      <c r="B48" s="13"/>
      <c r="C48" s="13"/>
      <c r="D48" s="13"/>
      <c r="E48" s="15"/>
      <c r="F48" s="16" t="str">
        <f aca="false">IF(OR(D48="",E48=""),"",D48*E48)</f>
        <v/>
      </c>
      <c r="G48" s="15"/>
      <c r="H48" s="16" t="n">
        <f aca="false">SUM(F48,G48)</f>
        <v>0</v>
      </c>
      <c r="I48" s="13"/>
    </row>
    <row r="49" customFormat="false" ht="15" hidden="false" customHeight="false" outlineLevel="0" collapsed="false">
      <c r="A49" s="12"/>
      <c r="B49" s="13"/>
      <c r="C49" s="13"/>
      <c r="D49" s="13"/>
      <c r="E49" s="15"/>
      <c r="F49" s="16" t="str">
        <f aca="false">IF(OR(D49="",E49=""),"",D49*E49)</f>
        <v/>
      </c>
      <c r="G49" s="15"/>
      <c r="H49" s="16" t="n">
        <f aca="false">SUM(F49,G49)</f>
        <v>0</v>
      </c>
      <c r="I49" s="13"/>
    </row>
    <row r="50" customFormat="false" ht="15" hidden="false" customHeight="false" outlineLevel="0" collapsed="false">
      <c r="A50" s="12"/>
      <c r="B50" s="13"/>
      <c r="C50" s="13"/>
      <c r="D50" s="13"/>
      <c r="E50" s="15"/>
      <c r="F50" s="16" t="str">
        <f aca="false">IF(OR(D50="",E50=""),"",D50*E50)</f>
        <v/>
      </c>
      <c r="G50" s="15"/>
      <c r="H50" s="16" t="n">
        <f aca="false">SUM(F50,G50)</f>
        <v>0</v>
      </c>
      <c r="I50" s="13"/>
    </row>
    <row r="51" customFormat="false" ht="15" hidden="false" customHeight="false" outlineLevel="0" collapsed="false">
      <c r="A51" s="12"/>
      <c r="B51" s="13"/>
      <c r="C51" s="13"/>
      <c r="D51" s="13"/>
      <c r="E51" s="15"/>
      <c r="F51" s="16" t="str">
        <f aca="false">IF(OR(D51="",E51=""),"",D51*E51)</f>
        <v/>
      </c>
      <c r="G51" s="15"/>
      <c r="H51" s="16" t="n">
        <f aca="false">SUM(F51,G51)</f>
        <v>0</v>
      </c>
      <c r="I51" s="13"/>
    </row>
    <row r="52" customFormat="false" ht="15" hidden="false" customHeight="false" outlineLevel="0" collapsed="false">
      <c r="A52" s="12"/>
      <c r="B52" s="13"/>
      <c r="C52" s="13"/>
      <c r="D52" s="13"/>
      <c r="E52" s="15"/>
      <c r="F52" s="16" t="str">
        <f aca="false">IF(OR(D52="",E52=""),"",D52*E52)</f>
        <v/>
      </c>
      <c r="G52" s="15"/>
      <c r="H52" s="16" t="n">
        <f aca="false">SUM(F52,G52)</f>
        <v>0</v>
      </c>
      <c r="I52" s="13"/>
    </row>
    <row r="53" customFormat="false" ht="15" hidden="false" customHeight="false" outlineLevel="0" collapsed="false">
      <c r="A53" s="12"/>
      <c r="B53" s="13"/>
      <c r="C53" s="13"/>
      <c r="D53" s="13"/>
      <c r="E53" s="15"/>
      <c r="F53" s="16" t="str">
        <f aca="false">IF(OR(D53="",E53=""),"",D53*E53)</f>
        <v/>
      </c>
      <c r="G53" s="15"/>
      <c r="H53" s="16" t="n">
        <f aca="false">SUM(F53,G53)</f>
        <v>0</v>
      </c>
      <c r="I53" s="13"/>
    </row>
    <row r="54" customFormat="false" ht="15" hidden="false" customHeight="false" outlineLevel="0" collapsed="false">
      <c r="A54" s="12"/>
      <c r="B54" s="13"/>
      <c r="C54" s="13"/>
      <c r="D54" s="13"/>
      <c r="E54" s="15"/>
      <c r="F54" s="16" t="str">
        <f aca="false">IF(OR(D54="",E54=""),"",D54*E54)</f>
        <v/>
      </c>
      <c r="G54" s="15"/>
      <c r="H54" s="16" t="n">
        <f aca="false">SUM(F54,G54)</f>
        <v>0</v>
      </c>
      <c r="I54" s="13"/>
    </row>
    <row r="55" customFormat="false" ht="15" hidden="false" customHeight="false" outlineLevel="0" collapsed="false">
      <c r="A55" s="12"/>
      <c r="B55" s="13"/>
      <c r="C55" s="13"/>
      <c r="D55" s="13"/>
      <c r="E55" s="15"/>
      <c r="F55" s="16" t="str">
        <f aca="false">IF(OR(D55="",E55=""),"",D55*E55)</f>
        <v/>
      </c>
      <c r="G55" s="15"/>
      <c r="H55" s="16" t="n">
        <f aca="false">SUM(F55,G55)</f>
        <v>0</v>
      </c>
      <c r="I55" s="13"/>
    </row>
    <row r="56" customFormat="false" ht="15" hidden="false" customHeight="false" outlineLevel="0" collapsed="false">
      <c r="A56" s="12"/>
      <c r="B56" s="13"/>
      <c r="C56" s="13"/>
      <c r="D56" s="13"/>
      <c r="E56" s="15"/>
      <c r="F56" s="16" t="str">
        <f aca="false">IF(OR(D56="",E56=""),"",D56*E56)</f>
        <v/>
      </c>
      <c r="G56" s="15"/>
      <c r="H56" s="16" t="n">
        <f aca="false">SUM(F56,G56)</f>
        <v>0</v>
      </c>
      <c r="I56" s="13"/>
    </row>
    <row r="57" customFormat="false" ht="15" hidden="false" customHeight="false" outlineLevel="0" collapsed="false">
      <c r="A57" s="12"/>
      <c r="B57" s="13"/>
      <c r="C57" s="13"/>
      <c r="D57" s="13"/>
      <c r="E57" s="15"/>
      <c r="F57" s="16" t="str">
        <f aca="false">IF(OR(D57="",E57=""),"",D57*E57)</f>
        <v/>
      </c>
      <c r="G57" s="15"/>
      <c r="H57" s="16" t="n">
        <f aca="false">SUM(F57,G57)</f>
        <v>0</v>
      </c>
      <c r="I57" s="13"/>
    </row>
    <row r="58" customFormat="false" ht="15" hidden="false" customHeight="false" outlineLevel="0" collapsed="false">
      <c r="A58" s="12"/>
      <c r="B58" s="13"/>
      <c r="C58" s="13"/>
      <c r="D58" s="13"/>
      <c r="E58" s="15"/>
      <c r="F58" s="16" t="str">
        <f aca="false">IF(OR(D58="",E58=""),"",D58*E58)</f>
        <v/>
      </c>
      <c r="G58" s="15"/>
      <c r="H58" s="16" t="n">
        <f aca="false">SUM(F58,G58)</f>
        <v>0</v>
      </c>
      <c r="I58" s="13"/>
    </row>
    <row r="59" customFormat="false" ht="15" hidden="false" customHeight="false" outlineLevel="0" collapsed="false">
      <c r="A59" s="12"/>
      <c r="B59" s="13"/>
      <c r="C59" s="13"/>
      <c r="D59" s="13"/>
      <c r="E59" s="15"/>
      <c r="F59" s="16" t="str">
        <f aca="false">IF(OR(D59="",E59=""),"",D59*E59)</f>
        <v/>
      </c>
      <c r="G59" s="15"/>
      <c r="H59" s="16" t="n">
        <f aca="false">SUM(F59,G59)</f>
        <v>0</v>
      </c>
      <c r="I59" s="13"/>
    </row>
    <row r="60" customFormat="false" ht="15" hidden="false" customHeight="false" outlineLevel="0" collapsed="false">
      <c r="A60" s="12"/>
      <c r="B60" s="13"/>
      <c r="C60" s="13"/>
      <c r="D60" s="13"/>
      <c r="E60" s="15"/>
      <c r="F60" s="16" t="str">
        <f aca="false">IF(OR(D60="",E60=""),"",D60*E60)</f>
        <v/>
      </c>
      <c r="G60" s="15"/>
      <c r="H60" s="16" t="n">
        <f aca="false">SUM(F60,G60)</f>
        <v>0</v>
      </c>
      <c r="I60" s="13"/>
    </row>
    <row r="61" customFormat="false" ht="15" hidden="false" customHeight="false" outlineLevel="0" collapsed="false">
      <c r="A61" s="12"/>
      <c r="B61" s="13"/>
      <c r="C61" s="13"/>
      <c r="D61" s="13"/>
      <c r="E61" s="15"/>
      <c r="F61" s="16" t="str">
        <f aca="false">IF(OR(D61="",E61=""),"",D61*E61)</f>
        <v/>
      </c>
      <c r="G61" s="15"/>
      <c r="H61" s="16" t="n">
        <f aca="false">SUM(F61,G61)</f>
        <v>0</v>
      </c>
      <c r="I61" s="13"/>
    </row>
    <row r="62" customFormat="false" ht="15" hidden="false" customHeight="false" outlineLevel="0" collapsed="false">
      <c r="A62" s="12"/>
      <c r="B62" s="13"/>
      <c r="C62" s="13"/>
      <c r="D62" s="13"/>
      <c r="E62" s="15"/>
      <c r="F62" s="16" t="str">
        <f aca="false">IF(OR(D62="",E62=""),"",D62*E62)</f>
        <v/>
      </c>
      <c r="G62" s="15"/>
      <c r="H62" s="16" t="n">
        <f aca="false">SUM(F62,G62)</f>
        <v>0</v>
      </c>
      <c r="I62" s="13"/>
    </row>
    <row r="63" customFormat="false" ht="15" hidden="false" customHeight="false" outlineLevel="0" collapsed="false">
      <c r="A63" s="12"/>
      <c r="B63" s="13"/>
      <c r="C63" s="13"/>
      <c r="D63" s="13"/>
      <c r="E63" s="15"/>
      <c r="F63" s="16" t="str">
        <f aca="false">IF(OR(D63="",E63=""),"",D63*E63)</f>
        <v/>
      </c>
      <c r="G63" s="15"/>
      <c r="H63" s="16" t="n">
        <f aca="false">SUM(F63,G63)</f>
        <v>0</v>
      </c>
      <c r="I63" s="13"/>
    </row>
    <row r="64" customFormat="false" ht="15" hidden="false" customHeight="false" outlineLevel="0" collapsed="false">
      <c r="A64" s="12"/>
      <c r="B64" s="13"/>
      <c r="C64" s="13"/>
      <c r="D64" s="13"/>
      <c r="E64" s="15"/>
      <c r="F64" s="16" t="str">
        <f aca="false">IF(OR(D64="",E64=""),"",D64*E64)</f>
        <v/>
      </c>
      <c r="G64" s="15"/>
      <c r="H64" s="16" t="n">
        <f aca="false">SUM(F64,G64)</f>
        <v>0</v>
      </c>
      <c r="I64" s="13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C5:C64" type="list">
      <formula1>"Mileage,Software,Stationery,Training,Other"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24" hidden="false" customHeight="true" outlineLevel="0" collapsed="false">
      <c r="A1" s="10" t="s">
        <v>34</v>
      </c>
      <c r="B1" s="10"/>
    </row>
    <row r="2" customFormat="false" ht="15.75" hidden="false" customHeight="true" outlineLevel="0" collapsed="false">
      <c r="A2" s="9" t="s">
        <v>35</v>
      </c>
      <c r="B2" s="9"/>
    </row>
    <row r="4" customFormat="false" ht="15" hidden="false" customHeight="false" outlineLevel="0" collapsed="false">
      <c r="A4" s="1" t="s">
        <v>36</v>
      </c>
    </row>
    <row r="5" customFormat="false" ht="15" hidden="false" customHeight="false" outlineLevel="0" collapsed="false">
      <c r="A5" s="17" t="s">
        <v>37</v>
      </c>
      <c r="B5" s="18" t="n">
        <f aca="false">SUMIF('Income Log'!F5:F64,"Received",'Income Log'!E5:E64)</f>
        <v>0</v>
      </c>
    </row>
    <row r="6" customFormat="false" ht="15" hidden="false" customHeight="false" outlineLevel="0" collapsed="false">
      <c r="A6" s="17" t="s">
        <v>38</v>
      </c>
      <c r="B6" s="18" t="n">
        <f aca="false">SUMIF('Income Log'!F5:F64,"Outstanding",'Income Log'!E5:E64)</f>
        <v>0</v>
      </c>
    </row>
    <row r="7" customFormat="false" ht="15" hidden="false" customHeight="false" outlineLevel="0" collapsed="false">
      <c r="A7" s="17" t="s">
        <v>39</v>
      </c>
      <c r="B7" s="19" t="n">
        <f aca="false">COUNTA('Income Log'!A5:A64)</f>
        <v>0</v>
      </c>
    </row>
    <row r="9" customFormat="false" ht="15" hidden="false" customHeight="false" outlineLevel="0" collapsed="false">
      <c r="A9" s="1" t="s">
        <v>40</v>
      </c>
    </row>
    <row r="10" customFormat="false" ht="15" hidden="false" customHeight="false" outlineLevel="0" collapsed="false">
      <c r="A10" s="17" t="s">
        <v>41</v>
      </c>
      <c r="B10" s="18" t="n">
        <f aca="false">SUM('Expense &amp; Mileage Log'!F5:F64)</f>
        <v>0</v>
      </c>
    </row>
    <row r="11" customFormat="false" ht="15" hidden="false" customHeight="false" outlineLevel="0" collapsed="false">
      <c r="A11" s="17" t="s">
        <v>42</v>
      </c>
      <c r="B11" s="18" t="n">
        <f aca="false">SUM('Expense &amp; Mileage Log'!G5:G64)</f>
        <v>0</v>
      </c>
    </row>
    <row r="12" customFormat="false" ht="15" hidden="false" customHeight="false" outlineLevel="0" collapsed="false">
      <c r="A12" s="17" t="s">
        <v>43</v>
      </c>
      <c r="B12" s="18" t="n">
        <f aca="false">SUM('Expense &amp; Mileage Log'!H5:H64)</f>
        <v>0</v>
      </c>
    </row>
    <row r="14" customFormat="false" ht="15" hidden="false" customHeight="false" outlineLevel="0" collapsed="false">
      <c r="A14" s="1" t="s">
        <v>44</v>
      </c>
    </row>
    <row r="15" customFormat="false" ht="15" hidden="false" customHeight="false" outlineLevel="0" collapsed="false">
      <c r="A15" s="17" t="s">
        <v>45</v>
      </c>
      <c r="B15" s="18" t="n">
        <f aca="false">B5-B12</f>
        <v>0</v>
      </c>
    </row>
    <row r="17" customFormat="false" ht="15" hidden="false" customHeight="false" outlineLevel="0" collapsed="false">
      <c r="A17" s="1" t="s">
        <v>46</v>
      </c>
    </row>
    <row r="18" customFormat="false" ht="15" hidden="false" customHeight="false" outlineLevel="0" collapsed="false">
      <c r="A18" s="20" t="s">
        <v>22</v>
      </c>
      <c r="B18" s="20" t="s">
        <v>33</v>
      </c>
    </row>
    <row r="19" customFormat="false" ht="15" hidden="false" customHeight="false" outlineLevel="0" collapsed="false">
      <c r="A19" s="21" t="s">
        <v>47</v>
      </c>
      <c r="B19" s="22" t="n">
        <f aca="false">SUMIF('Income Log'!D5:D64,"Day Rate",'Income Log'!E5:E64)</f>
        <v>0</v>
      </c>
    </row>
    <row r="20" customFormat="false" ht="15" hidden="false" customHeight="false" outlineLevel="0" collapsed="false">
      <c r="A20" s="21" t="s">
        <v>48</v>
      </c>
      <c r="B20" s="22" t="n">
        <f aca="false">SUMIF('Income Log'!D5:D64,"Hourly",'Income Log'!E5:E64)</f>
        <v>0</v>
      </c>
    </row>
    <row r="21" customFormat="false" ht="15" hidden="false" customHeight="false" outlineLevel="0" collapsed="false">
      <c r="A21" s="21" t="s">
        <v>49</v>
      </c>
      <c r="B21" s="22" t="n">
        <f aca="false">SUMIF('Income Log'!D5:D64,"Retainer",'Income Log'!E5:E64)</f>
        <v>0</v>
      </c>
    </row>
    <row r="22" customFormat="false" ht="15" hidden="false" customHeight="false" outlineLevel="0" collapsed="false">
      <c r="A22" s="21" t="s">
        <v>50</v>
      </c>
      <c r="B22" s="22" t="n">
        <f aca="false">SUMIF('Income Log'!D5:D64,"Percentage Fee",'Income Log'!E5:E64)</f>
        <v>0</v>
      </c>
    </row>
    <row r="23" customFormat="false" ht="15" hidden="false" customHeight="false" outlineLevel="0" collapsed="false">
      <c r="A23" s="21" t="s">
        <v>51</v>
      </c>
      <c r="B23" s="22" t="n">
        <f aca="false">SUMIF('Income Log'!D5:D64,"Other",'Income Log'!E5:E64)</f>
        <v>0</v>
      </c>
    </row>
    <row r="25" customFormat="false" ht="15" hidden="false" customHeight="false" outlineLevel="0" collapsed="false">
      <c r="A25" s="1" t="s">
        <v>52</v>
      </c>
    </row>
    <row r="26" customFormat="false" ht="15" hidden="false" customHeight="false" outlineLevel="0" collapsed="false">
      <c r="A26" s="20" t="s">
        <v>28</v>
      </c>
      <c r="B26" s="20" t="s">
        <v>33</v>
      </c>
    </row>
    <row r="27" customFormat="false" ht="15" hidden="false" customHeight="false" outlineLevel="0" collapsed="false">
      <c r="A27" s="21" t="s">
        <v>53</v>
      </c>
      <c r="B27" s="22" t="n">
        <f aca="false">SUMIF('Expense &amp; Mileage Log'!C5:C64,"Mileage",'Expense &amp; Mileage Log'!H5:H64)</f>
        <v>0</v>
      </c>
    </row>
    <row r="28" customFormat="false" ht="15" hidden="false" customHeight="false" outlineLevel="0" collapsed="false">
      <c r="A28" s="21" t="s">
        <v>54</v>
      </c>
      <c r="B28" s="22" t="n">
        <f aca="false">SUMIF('Expense &amp; Mileage Log'!C5:C64,"Software",'Expense &amp; Mileage Log'!H5:H64)</f>
        <v>0</v>
      </c>
    </row>
    <row r="29" customFormat="false" ht="15" hidden="false" customHeight="false" outlineLevel="0" collapsed="false">
      <c r="A29" s="21" t="s">
        <v>55</v>
      </c>
      <c r="B29" s="22" t="n">
        <f aca="false">SUMIF('Expense &amp; Mileage Log'!C5:C64,"Stationery",'Expense &amp; Mileage Log'!H5:H64)</f>
        <v>0</v>
      </c>
    </row>
    <row r="30" customFormat="false" ht="15" hidden="false" customHeight="false" outlineLevel="0" collapsed="false">
      <c r="A30" s="21" t="s">
        <v>56</v>
      </c>
      <c r="B30" s="22" t="n">
        <f aca="false">SUMIF('Expense &amp; Mileage Log'!C5:C64,"Training",'Expense &amp; Mileage Log'!H5:H64)</f>
        <v>0</v>
      </c>
    </row>
    <row r="31" customFormat="false" ht="15" hidden="false" customHeight="false" outlineLevel="0" collapsed="false">
      <c r="A31" s="21" t="s">
        <v>51</v>
      </c>
      <c r="B31" s="22" t="n">
        <f aca="false">SUMIF('Expense &amp; Mileage Log'!C5:C64,"Other",'Expense &amp; Mileage Log'!H5:H64)</f>
        <v>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2026-07-09T08:10:23Z</dcterms:created>
  <dc:creator>openpyxl</dc:creator>
  <dc:description/>
  <dc:language>en-US</dc:language>
  <cp:lastModifiedBy/>
  <dcterms:modified xsi:type="dcterms:W3CDTF">2026-07-09T08:10:23Z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