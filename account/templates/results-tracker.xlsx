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Results Tracker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<sst xmlns="http://schemas.openxmlformats.org/spreadsheetml/2006/main" count="53" uniqueCount="50">
  <si>
    <t xml:space="preserve">VEYN — BUSINESS HUB TEMPLATE</t>
  </si>
  <si>
    <t xml:space="preserve">Results Tracker</t>
  </si>
  <si>
    <t xml:space="preserve">Add a patient here as soon as they're sent for investigations following a consultation — bloods, imaging, biopsy or otherwise. The tracker flags anything still outstanding after two weeks, and separately flags results that have come back but haven't yet been reviewed by the consultant.</t>
  </si>
  <si>
    <t xml:space="preserve">Only the Consultant, Investigation Type, Provider, Date Received and Reviewed columns need touching after the initial entry — everything else calculates itself.</t>
  </si>
  <si>
    <t xml:space="preserve">HOW TO READ THIS WORKBOOK</t>
  </si>
  <si>
    <t xml:space="preserve">Colour</t>
  </si>
  <si>
    <t xml:space="preserve">Meaning</t>
  </si>
  <si>
    <t xml:space="preserve">Blue text</t>
  </si>
  <si>
    <t xml:space="preserve">Type into this cell — it won't overwrite a formula</t>
  </si>
  <si>
    <t xml:space="preserve">Black text</t>
  </si>
  <si>
    <t xml:space="preserve">Calculated automatically — leave alone</t>
  </si>
  <si>
    <t xml:space="preserve">Gold row</t>
  </si>
  <si>
    <t xml:space="preserve">Needs attention — overdue (14+ days), or received but not yet reviewed</t>
  </si>
  <si>
    <t xml:space="preserve">Green row</t>
  </si>
  <si>
    <t xml:space="preserve">Received and reviewed — complete</t>
  </si>
  <si>
    <t xml:space="preserve">This template is general guidance, not financial, tax or legal advice — check figures relevant to your own situation.</t>
  </si>
  <si>
    <t xml:space="preserve">Privacy note: use patient initials or an internal reference number in these trackers, never full identifying details, in line with GDPR good practice.</t>
  </si>
  <si>
    <t xml:space="preserve">One row per investigation requested at consultation</t>
  </si>
  <si>
    <t xml:space="preserve">Consultation Date</t>
  </si>
  <si>
    <t xml:space="preserve">Patient Ref</t>
  </si>
  <si>
    <t xml:space="preserve">Consultant</t>
  </si>
  <si>
    <t xml:space="preserve">Investigation Type</t>
  </si>
  <si>
    <t xml:space="preserve">Provider / Lab</t>
  </si>
  <si>
    <t xml:space="preserve">Date Received</t>
  </si>
  <si>
    <t xml:space="preserve">Days Waiting</t>
  </si>
  <si>
    <t xml:space="preserve">Status</t>
  </si>
  <si>
    <t xml:space="preserve">Reviewed by Consultant?</t>
  </si>
  <si>
    <t xml:space="preserve">Notes</t>
  </si>
  <si>
    <t xml:space="preserve">Summary</t>
  </si>
  <si>
    <t xml:space="preserve">Updates automatically from the Results Tracker tab</t>
  </si>
  <si>
    <t xml:space="preserve">Investigations Logged</t>
  </si>
  <si>
    <t xml:space="preserve">Awaiting (Under 2 Weeks)</t>
  </si>
  <si>
    <t xml:space="preserve">Overdue (2+ Weeks, Not Received)</t>
  </si>
  <si>
    <t xml:space="preserve">Received</t>
  </si>
  <si>
    <t xml:space="preserve">Received but Not Yet Reviewed</t>
  </si>
  <si>
    <t xml:space="preserve">Fully Complete (Received &amp; Reviewed)</t>
  </si>
  <si>
    <t xml:space="preserve">Average Days to Result (Received Only)</t>
  </si>
  <si>
    <t xml:space="preserve">By Investigation Type</t>
  </si>
  <si>
    <t xml:space="preserve">Total</t>
  </si>
  <si>
    <t xml:space="preserve">Overdue</t>
  </si>
  <si>
    <t xml:space="preserve">Blood Test</t>
  </si>
  <si>
    <t xml:space="preserve">MRI</t>
  </si>
  <si>
    <t xml:space="preserve">CT</t>
  </si>
  <si>
    <t xml:space="preserve">X-ray</t>
  </si>
  <si>
    <t xml:space="preserve">USS</t>
  </si>
  <si>
    <t xml:space="preserve">Biopsy</t>
  </si>
  <si>
    <t xml:space="preserve">PET CT</t>
  </si>
  <si>
    <t xml:space="preserve">DEXA</t>
  </si>
  <si>
    <t xml:space="preserve">ECG</t>
  </si>
  <si>
    <t xml:space="preserve">Other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</si>
</sst>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B8924A"/>
      <name val="Consolas"/>
      <family val="0"/>
      <charset val="1"/>
    </font>
    <font>
      <b val="true"/>
      <sz val="20"/>
      <color rgb="FF1B2430"/>
      <name val="Cambria"/>
      <family val="0"/>
      <charset val="1"/>
    </font>
    <font>
      <sz val="11"/>
      <color rgb="FF5C6470"/>
      <name val="Calibri"/>
      <family val="0"/>
      <charset val="1"/>
    </font>
    <font>
      <b val="true"/>
      <sz val="10"/>
      <color rgb="FF1B2430"/>
      <name val="Calibri"/>
      <family val="0"/>
      <charset val="1"/>
    </font>
    <font>
      <sz val="10"/>
      <color rgb="FF5C6470"/>
      <name val="Calibri"/>
      <family val="0"/>
      <charset val="1"/>
    </font>
    <font>
      <i val="true"/>
      <sz val="9"/>
      <color rgb="FF5C6470"/>
      <name val="Calibri"/>
      <family val="0"/>
      <charset val="1"/>
    </font>
    <font>
      <b val="true"/>
      <sz val="15"/>
      <color rgb="FF1B2430"/>
      <name val="Cambria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1F3B8C"/>
      <name val="Calibri"/>
      <family val="0"/>
      <charset val="1"/>
    </font>
    <font>
      <sz val="10"/>
      <color rgb="FF1B2430"/>
      <name val="Calibri"/>
      <family val="0"/>
      <charset val="1"/>
    </font>
    <font>
      <b val="true"/>
      <sz val="11"/>
      <color rgb="FF1B243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1E4C8"/>
        <bgColor rgb="FFDCE8DF"/>
      </patternFill>
    </fill>
    <fill>
      <patternFill patternType="solid">
        <fgColor rgb="FFFFFFFF"/>
        <bgColor rgb="FFCCFFFF"/>
      </patternFill>
    </fill>
    <fill>
      <patternFill patternType="solid">
        <fgColor rgb="FFDCE8DF"/>
        <bgColor rgb="FFF1E4C8"/>
      </patternFill>
    </fill>
    <fill>
      <patternFill patternType="solid">
        <fgColor rgb="FF1B2430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3C6"/>
      </left>
      <right style="thin">
        <color rgb="FFD8D3C6"/>
      </right>
      <top style="thin">
        <color rgb="FFD8D3C6"/>
      </top>
      <bottom style="thin">
        <color rgb="FFD8D3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1E4C8"/>
        </patternFill>
      </fill>
    </dxf>
    <dxf>
      <fill>
        <patternFill>
          <bgColor rgb="FFDCE8D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3C6"/>
      <rgbColor rgb="FF808080"/>
      <rgbColor rgb="FF9999FF"/>
      <rgbColor rgb="FF993366"/>
      <rgbColor rgb="FFF1E4C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8D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470"/>
      <rgbColor rgb="FFB8924A"/>
      <rgbColor rgb="FF003366"/>
      <rgbColor rgb="FF339966"/>
      <rgbColor rgb="FF003300"/>
      <rgbColor rgb="FF333300"/>
      <rgbColor rgb="FF993300"/>
      <rgbColor rgb="FF993366"/>
      <rgbColor rgb="FF1F3B8C"/>
      <rgbColor rgb="FF1B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430"/>
    <pageSetUpPr fitToPage="false"/>
  </sheetPr>
  <dimension ref="B2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62"/>
  </cols>
  <sheetData>
    <row r="2" customFormat="false" ht="15" hidden="false" customHeight="false" outlineLevel="0" collapsed="false">
      <c r="B2" s="1" t="s">
        <v>0</v>
      </c>
    </row>
    <row r="3" customFormat="false" ht="30" hidden="false" customHeight="true" outlineLevel="0" collapsed="false">
      <c r="B3" s="2" t="s">
        <v>1</v>
      </c>
    </row>
    <row r="5" customFormat="false" ht="30" hidden="false" customHeight="true" outlineLevel="0" collapsed="false">
      <c r="B5" s="3" t="s">
        <v>2</v>
      </c>
      <c r="C5" s="3"/>
    </row>
    <row r="6" customFormat="false" ht="30" hidden="false" customHeight="true" outlineLevel="0" collapsed="false">
      <c r="B6" s="3" t="s">
        <v>3</v>
      </c>
      <c r="C6" s="3"/>
    </row>
    <row r="8" customFormat="false" ht="15" hidden="false" customHeight="false" outlineLevel="0" collapsed="false">
      <c r="B8" s="1" t="s">
        <v>4</v>
      </c>
    </row>
    <row r="9" customFormat="false" ht="15" hidden="false" customHeight="false" outlineLevel="0" collapsed="false">
      <c r="B9" s="4" t="s">
        <v>5</v>
      </c>
      <c r="C9" s="4" t="s">
        <v>6</v>
      </c>
    </row>
    <row r="10" customFormat="false" ht="21.75" hidden="false" customHeight="true" outlineLevel="0" collapsed="false">
      <c r="B10" s="5" t="s">
        <v>7</v>
      </c>
      <c r="C10" s="6" t="s">
        <v>8</v>
      </c>
    </row>
    <row r="11" customFormat="false" ht="21.75" hidden="false" customHeight="true" outlineLevel="0" collapsed="false">
      <c r="B11" s="7" t="s">
        <v>9</v>
      </c>
      <c r="C11" s="6" t="s">
        <v>10</v>
      </c>
    </row>
    <row r="12" customFormat="false" ht="21.75" hidden="false" customHeight="true" outlineLevel="0" collapsed="false">
      <c r="B12" s="5" t="s">
        <v>11</v>
      </c>
      <c r="C12" s="6" t="s">
        <v>12</v>
      </c>
    </row>
    <row r="13" customFormat="false" ht="21.75" hidden="false" customHeight="true" outlineLevel="0" collapsed="false">
      <c r="B13" s="8" t="s">
        <v>13</v>
      </c>
      <c r="C13" s="6" t="s">
        <v>14</v>
      </c>
    </row>
    <row r="15" customFormat="false" ht="25.5" hidden="false" customHeight="true" outlineLevel="0" collapsed="false">
      <c r="B15" s="9" t="s">
        <v>15</v>
      </c>
      <c r="C15" s="9"/>
    </row>
    <row r="17" customFormat="false" ht="25.5" hidden="false" customHeight="true" outlineLevel="0" collapsed="false">
      <c r="B17" s="9" t="s">
        <v>16</v>
      </c>
      <c r="C17" s="9"/>
    </row>
  </sheetData>
  <mergeCells count="4">
    <mergeCell ref="B5:C5"/>
    <mergeCell ref="B6:C6"/>
    <mergeCell ref="B15:C15"/>
    <mergeCell ref="B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26"/>
  </cols>
  <sheetData>
    <row r="1" customFormat="false" ht="24" hidden="false" customHeight="true" outlineLevel="0" collapsed="false">
      <c r="A1" s="10" t="s">
        <v>1</v>
      </c>
      <c r="B1" s="10"/>
      <c r="C1" s="10"/>
      <c r="D1" s="10"/>
      <c r="E1" s="10"/>
      <c r="F1" s="10"/>
      <c r="G1" s="10"/>
      <c r="H1" s="10"/>
      <c r="I1" s="10"/>
      <c r="J1" s="10"/>
    </row>
    <row r="2" customFormat="false" ht="15.75" hidden="false" customHeight="true" outlineLevel="0" collapsed="false">
      <c r="A2" s="9" t="s">
        <v>17</v>
      </c>
      <c r="B2" s="9"/>
      <c r="C2" s="9"/>
      <c r="D2" s="9"/>
      <c r="E2" s="9"/>
      <c r="F2" s="9"/>
      <c r="G2" s="9"/>
      <c r="H2" s="9"/>
      <c r="I2" s="9"/>
      <c r="J2" s="9"/>
    </row>
    <row r="4" customFormat="false" ht="31.5" hidden="false" customHeight="true" outlineLevel="0" collapsed="false">
      <c r="A4" s="11" t="s">
        <v>18</v>
      </c>
      <c r="B4" s="11" t="s">
        <v>19</v>
      </c>
      <c r="C4" s="11" t="s">
        <v>20</v>
      </c>
      <c r="D4" s="11" t="s">
        <v>21</v>
      </c>
      <c r="E4" s="11" t="s">
        <v>22</v>
      </c>
      <c r="F4" s="11" t="s">
        <v>23</v>
      </c>
      <c r="G4" s="11" t="s">
        <v>24</v>
      </c>
      <c r="H4" s="11" t="s">
        <v>25</v>
      </c>
      <c r="I4" s="11" t="s">
        <v>26</v>
      </c>
      <c r="J4" s="11" t="s">
        <v>27</v>
      </c>
    </row>
    <row r="5" customFormat="false" ht="15" hidden="false" customHeight="false" outlineLevel="0" collapsed="false">
      <c r="A5" s="12"/>
      <c r="B5" s="13"/>
      <c r="C5" s="13"/>
      <c r="D5" s="13"/>
      <c r="E5" s="13"/>
      <c r="F5" s="12"/>
      <c r="G5" s="14" t="str">
        <f aca="true">IF(A5="","",IF(F5="",TODAY()-A5,F5-A5))</f>
        <v/>
      </c>
      <c r="H5" s="14" t="str">
        <f aca="true">IF(A5="","",IF(F5&lt;&gt;"","Received",IF(TODAY()-A5&gt;14,"Overdue","Awaiting")))</f>
        <v/>
      </c>
      <c r="I5" s="13"/>
      <c r="J5" s="13"/>
    </row>
    <row r="6" customFormat="false" ht="15" hidden="false" customHeight="false" outlineLevel="0" collapsed="false">
      <c r="A6" s="12"/>
      <c r="B6" s="13"/>
      <c r="C6" s="13"/>
      <c r="D6" s="13"/>
      <c r="E6" s="13"/>
      <c r="F6" s="12"/>
      <c r="G6" s="14" t="str">
        <f aca="true">IF(A6="","",IF(F6="",TODAY()-A6,F6-A6))</f>
        <v/>
      </c>
      <c r="H6" s="14" t="str">
        <f aca="true">IF(A6="","",IF(F6&lt;&gt;"","Received",IF(TODAY()-A6&gt;14,"Overdue","Awaiting")))</f>
        <v/>
      </c>
      <c r="I6" s="13"/>
      <c r="J6" s="13"/>
    </row>
    <row r="7" customFormat="false" ht="15" hidden="false" customHeight="false" outlineLevel="0" collapsed="false">
      <c r="A7" s="12"/>
      <c r="B7" s="13"/>
      <c r="C7" s="13"/>
      <c r="D7" s="13"/>
      <c r="E7" s="13"/>
      <c r="F7" s="12"/>
      <c r="G7" s="14" t="str">
        <f aca="true">IF(A7="","",IF(F7="",TODAY()-A7,F7-A7))</f>
        <v/>
      </c>
      <c r="H7" s="14" t="str">
        <f aca="true">IF(A7="","",IF(F7&lt;&gt;"","Received",IF(TODAY()-A7&gt;14,"Overdue","Awaiting")))</f>
        <v/>
      </c>
      <c r="I7" s="13"/>
      <c r="J7" s="13"/>
    </row>
    <row r="8" customFormat="false" ht="15" hidden="false" customHeight="false" outlineLevel="0" collapsed="false">
      <c r="A8" s="12"/>
      <c r="B8" s="13"/>
      <c r="C8" s="13"/>
      <c r="D8" s="13"/>
      <c r="E8" s="13"/>
      <c r="F8" s="12"/>
      <c r="G8" s="14" t="str">
        <f aca="true">IF(A8="","",IF(F8="",TODAY()-A8,F8-A8))</f>
        <v/>
      </c>
      <c r="H8" s="14" t="str">
        <f aca="true">IF(A8="","",IF(F8&lt;&gt;"","Received",IF(TODAY()-A8&gt;14,"Overdue","Awaiting")))</f>
        <v/>
      </c>
      <c r="I8" s="13"/>
      <c r="J8" s="13"/>
    </row>
    <row r="9" customFormat="false" ht="15" hidden="false" customHeight="false" outlineLevel="0" collapsed="false">
      <c r="A9" s="12"/>
      <c r="B9" s="13"/>
      <c r="C9" s="13"/>
      <c r="D9" s="13"/>
      <c r="E9" s="13"/>
      <c r="F9" s="12"/>
      <c r="G9" s="14" t="str">
        <f aca="true">IF(A9="","",IF(F9="",TODAY()-A9,F9-A9))</f>
        <v/>
      </c>
      <c r="H9" s="14" t="str">
        <f aca="true">IF(A9="","",IF(F9&lt;&gt;"","Received",IF(TODAY()-A9&gt;14,"Overdue","Awaiting")))</f>
        <v/>
      </c>
      <c r="I9" s="13"/>
      <c r="J9" s="13"/>
    </row>
    <row r="10" customFormat="false" ht="15" hidden="false" customHeight="false" outlineLevel="0" collapsed="false">
      <c r="A10" s="12"/>
      <c r="B10" s="13"/>
      <c r="C10" s="13"/>
      <c r="D10" s="13"/>
      <c r="E10" s="13"/>
      <c r="F10" s="12"/>
      <c r="G10" s="14" t="str">
        <f aca="true">IF(A10="","",IF(F10="",TODAY()-A10,F10-A10))</f>
        <v/>
      </c>
      <c r="H10" s="14" t="str">
        <f aca="true">IF(A10="","",IF(F10&lt;&gt;"","Received",IF(TODAY()-A10&gt;14,"Overdue","Awaiting")))</f>
        <v/>
      </c>
      <c r="I10" s="13"/>
      <c r="J10" s="13"/>
    </row>
    <row r="11" customFormat="false" ht="15" hidden="false" customHeight="false" outlineLevel="0" collapsed="false">
      <c r="A11" s="12"/>
      <c r="B11" s="13"/>
      <c r="C11" s="13"/>
      <c r="D11" s="13"/>
      <c r="E11" s="13"/>
      <c r="F11" s="12"/>
      <c r="G11" s="14" t="str">
        <f aca="true">IF(A11="","",IF(F11="",TODAY()-A11,F11-A11))</f>
        <v/>
      </c>
      <c r="H11" s="14" t="str">
        <f aca="true">IF(A11="","",IF(F11&lt;&gt;"","Received",IF(TODAY()-A11&gt;14,"Overdue","Awaiting")))</f>
        <v/>
      </c>
      <c r="I11" s="13"/>
      <c r="J11" s="13"/>
    </row>
    <row r="12" customFormat="false" ht="15" hidden="false" customHeight="false" outlineLevel="0" collapsed="false">
      <c r="A12" s="12"/>
      <c r="B12" s="13"/>
      <c r="C12" s="13"/>
      <c r="D12" s="13"/>
      <c r="E12" s="13"/>
      <c r="F12" s="12"/>
      <c r="G12" s="14" t="str">
        <f aca="true">IF(A12="","",IF(F12="",TODAY()-A12,F12-A12))</f>
        <v/>
      </c>
      <c r="H12" s="14" t="str">
        <f aca="true">IF(A12="","",IF(F12&lt;&gt;"","Received",IF(TODAY()-A12&gt;14,"Overdue","Awaiting")))</f>
        <v/>
      </c>
      <c r="I12" s="13"/>
      <c r="J12" s="13"/>
    </row>
    <row r="13" customFormat="false" ht="15" hidden="false" customHeight="false" outlineLevel="0" collapsed="false">
      <c r="A13" s="12"/>
      <c r="B13" s="13"/>
      <c r="C13" s="13"/>
      <c r="D13" s="13"/>
      <c r="E13" s="13"/>
      <c r="F13" s="12"/>
      <c r="G13" s="14" t="str">
        <f aca="true">IF(A13="","",IF(F13="",TODAY()-A13,F13-A13))</f>
        <v/>
      </c>
      <c r="H13" s="14" t="str">
        <f aca="true">IF(A13="","",IF(F13&lt;&gt;"","Received",IF(TODAY()-A13&gt;14,"Overdue","Awaiting")))</f>
        <v/>
      </c>
      <c r="I13" s="13"/>
      <c r="J13" s="13"/>
    </row>
    <row r="14" customFormat="false" ht="15" hidden="false" customHeight="false" outlineLevel="0" collapsed="false">
      <c r="A14" s="12"/>
      <c r="B14" s="13"/>
      <c r="C14" s="13"/>
      <c r="D14" s="13"/>
      <c r="E14" s="13"/>
      <c r="F14" s="12"/>
      <c r="G14" s="14" t="str">
        <f aca="true">IF(A14="","",IF(F14="",TODAY()-A14,F14-A14))</f>
        <v/>
      </c>
      <c r="H14" s="14" t="str">
        <f aca="true">IF(A14="","",IF(F14&lt;&gt;"","Received",IF(TODAY()-A14&gt;14,"Overdue","Awaiting")))</f>
        <v/>
      </c>
      <c r="I14" s="13"/>
      <c r="J14" s="13"/>
    </row>
    <row r="15" customFormat="false" ht="15" hidden="false" customHeight="false" outlineLevel="0" collapsed="false">
      <c r="A15" s="12"/>
      <c r="B15" s="13"/>
      <c r="C15" s="13"/>
      <c r="D15" s="13"/>
      <c r="E15" s="13"/>
      <c r="F15" s="12"/>
      <c r="G15" s="14" t="str">
        <f aca="true">IF(A15="","",IF(F15="",TODAY()-A15,F15-A15))</f>
        <v/>
      </c>
      <c r="H15" s="14" t="str">
        <f aca="true">IF(A15="","",IF(F15&lt;&gt;"","Received",IF(TODAY()-A15&gt;14,"Overdue","Awaiting")))</f>
        <v/>
      </c>
      <c r="I15" s="13"/>
      <c r="J15" s="13"/>
    </row>
    <row r="16" customFormat="false" ht="15" hidden="false" customHeight="false" outlineLevel="0" collapsed="false">
      <c r="A16" s="12"/>
      <c r="B16" s="13"/>
      <c r="C16" s="13"/>
      <c r="D16" s="13"/>
      <c r="E16" s="13"/>
      <c r="F16" s="12"/>
      <c r="G16" s="14" t="str">
        <f aca="true">IF(A16="","",IF(F16="",TODAY()-A16,F16-A16))</f>
        <v/>
      </c>
      <c r="H16" s="14" t="str">
        <f aca="true">IF(A16="","",IF(F16&lt;&gt;"","Received",IF(TODAY()-A16&gt;14,"Overdue","Awaiting")))</f>
        <v/>
      </c>
      <c r="I16" s="13"/>
      <c r="J16" s="13"/>
    </row>
    <row r="17" customFormat="false" ht="15" hidden="false" customHeight="false" outlineLevel="0" collapsed="false">
      <c r="A17" s="12"/>
      <c r="B17" s="13"/>
      <c r="C17" s="13"/>
      <c r="D17" s="13"/>
      <c r="E17" s="13"/>
      <c r="F17" s="12"/>
      <c r="G17" s="14" t="str">
        <f aca="true">IF(A17="","",IF(F17="",TODAY()-A17,F17-A17))</f>
        <v/>
      </c>
      <c r="H17" s="14" t="str">
        <f aca="true">IF(A17="","",IF(F17&lt;&gt;"","Received",IF(TODAY()-A17&gt;14,"Overdue","Awaiting")))</f>
        <v/>
      </c>
      <c r="I17" s="13"/>
      <c r="J17" s="13"/>
    </row>
    <row r="18" customFormat="false" ht="15" hidden="false" customHeight="false" outlineLevel="0" collapsed="false">
      <c r="A18" s="12"/>
      <c r="B18" s="13"/>
      <c r="C18" s="13"/>
      <c r="D18" s="13"/>
      <c r="E18" s="13"/>
      <c r="F18" s="12"/>
      <c r="G18" s="14" t="str">
        <f aca="true">IF(A18="","",IF(F18="",TODAY()-A18,F18-A18))</f>
        <v/>
      </c>
      <c r="H18" s="14" t="str">
        <f aca="true">IF(A18="","",IF(F18&lt;&gt;"","Received",IF(TODAY()-A18&gt;14,"Overdue","Awaiting")))</f>
        <v/>
      </c>
      <c r="I18" s="13"/>
      <c r="J18" s="13"/>
    </row>
    <row r="19" customFormat="false" ht="15" hidden="false" customHeight="false" outlineLevel="0" collapsed="false">
      <c r="A19" s="12"/>
      <c r="B19" s="13"/>
      <c r="C19" s="13"/>
      <c r="D19" s="13"/>
      <c r="E19" s="13"/>
      <c r="F19" s="12"/>
      <c r="G19" s="14" t="str">
        <f aca="true">IF(A19="","",IF(F19="",TODAY()-A19,F19-A19))</f>
        <v/>
      </c>
      <c r="H19" s="14" t="str">
        <f aca="true">IF(A19="","",IF(F19&lt;&gt;"","Received",IF(TODAY()-A19&gt;14,"Overdue","Awaiting")))</f>
        <v/>
      </c>
      <c r="I19" s="13"/>
      <c r="J19" s="13"/>
    </row>
    <row r="20" customFormat="false" ht="15" hidden="false" customHeight="false" outlineLevel="0" collapsed="false">
      <c r="A20" s="12"/>
      <c r="B20" s="13"/>
      <c r="C20" s="13"/>
      <c r="D20" s="13"/>
      <c r="E20" s="13"/>
      <c r="F20" s="12"/>
      <c r="G20" s="14" t="str">
        <f aca="true">IF(A20="","",IF(F20="",TODAY()-A20,F20-A20))</f>
        <v/>
      </c>
      <c r="H20" s="14" t="str">
        <f aca="true">IF(A20="","",IF(F20&lt;&gt;"","Received",IF(TODAY()-A20&gt;14,"Overdue","Awaiting")))</f>
        <v/>
      </c>
      <c r="I20" s="13"/>
      <c r="J20" s="13"/>
    </row>
    <row r="21" customFormat="false" ht="15" hidden="false" customHeight="false" outlineLevel="0" collapsed="false">
      <c r="A21" s="12"/>
      <c r="B21" s="13"/>
      <c r="C21" s="13"/>
      <c r="D21" s="13"/>
      <c r="E21" s="13"/>
      <c r="F21" s="12"/>
      <c r="G21" s="14" t="str">
        <f aca="true">IF(A21="","",IF(F21="",TODAY()-A21,F21-A21))</f>
        <v/>
      </c>
      <c r="H21" s="14" t="str">
        <f aca="true">IF(A21="","",IF(F21&lt;&gt;"","Received",IF(TODAY()-A21&gt;14,"Overdue","Awaiting")))</f>
        <v/>
      </c>
      <c r="I21" s="13"/>
      <c r="J21" s="13"/>
    </row>
    <row r="22" customFormat="false" ht="15" hidden="false" customHeight="false" outlineLevel="0" collapsed="false">
      <c r="A22" s="12"/>
      <c r="B22" s="13"/>
      <c r="C22" s="13"/>
      <c r="D22" s="13"/>
      <c r="E22" s="13"/>
      <c r="F22" s="12"/>
      <c r="G22" s="14" t="str">
        <f aca="true">IF(A22="","",IF(F22="",TODAY()-A22,F22-A22))</f>
        <v/>
      </c>
      <c r="H22" s="14" t="str">
        <f aca="true">IF(A22="","",IF(F22&lt;&gt;"","Received",IF(TODAY()-A22&gt;14,"Overdue","Awaiting")))</f>
        <v/>
      </c>
      <c r="I22" s="13"/>
      <c r="J22" s="13"/>
    </row>
    <row r="23" customFormat="false" ht="15" hidden="false" customHeight="false" outlineLevel="0" collapsed="false">
      <c r="A23" s="12"/>
      <c r="B23" s="13"/>
      <c r="C23" s="13"/>
      <c r="D23" s="13"/>
      <c r="E23" s="13"/>
      <c r="F23" s="12"/>
      <c r="G23" s="14" t="str">
        <f aca="true">IF(A23="","",IF(F23="",TODAY()-A23,F23-A23))</f>
        <v/>
      </c>
      <c r="H23" s="14" t="str">
        <f aca="true">IF(A23="","",IF(F23&lt;&gt;"","Received",IF(TODAY()-A23&gt;14,"Overdue","Awaiting")))</f>
        <v/>
      </c>
      <c r="I23" s="13"/>
      <c r="J23" s="13"/>
    </row>
    <row r="24" customFormat="false" ht="15" hidden="false" customHeight="false" outlineLevel="0" collapsed="false">
      <c r="A24" s="12"/>
      <c r="B24" s="13"/>
      <c r="C24" s="13"/>
      <c r="D24" s="13"/>
      <c r="E24" s="13"/>
      <c r="F24" s="12"/>
      <c r="G24" s="14" t="str">
        <f aca="true">IF(A24="","",IF(F24="",TODAY()-A24,F24-A24))</f>
        <v/>
      </c>
      <c r="H24" s="14" t="str">
        <f aca="true">IF(A24="","",IF(F24&lt;&gt;"","Received",IF(TODAY()-A24&gt;14,"Overdue","Awaiting")))</f>
        <v/>
      </c>
      <c r="I24" s="13"/>
      <c r="J24" s="13"/>
    </row>
    <row r="25" customFormat="false" ht="15" hidden="false" customHeight="false" outlineLevel="0" collapsed="false">
      <c r="A25" s="12"/>
      <c r="B25" s="13"/>
      <c r="C25" s="13"/>
      <c r="D25" s="13"/>
      <c r="E25" s="13"/>
      <c r="F25" s="12"/>
      <c r="G25" s="14" t="str">
        <f aca="true">IF(A25="","",IF(F25="",TODAY()-A25,F25-A25))</f>
        <v/>
      </c>
      <c r="H25" s="14" t="str">
        <f aca="true">IF(A25="","",IF(F25&lt;&gt;"","Received",IF(TODAY()-A25&gt;14,"Overdue","Awaiting")))</f>
        <v/>
      </c>
      <c r="I25" s="13"/>
      <c r="J25" s="13"/>
    </row>
    <row r="26" customFormat="false" ht="15" hidden="false" customHeight="false" outlineLevel="0" collapsed="false">
      <c r="A26" s="12"/>
      <c r="B26" s="13"/>
      <c r="C26" s="13"/>
      <c r="D26" s="13"/>
      <c r="E26" s="13"/>
      <c r="F26" s="12"/>
      <c r="G26" s="14" t="str">
        <f aca="true">IF(A26="","",IF(F26="",TODAY()-A26,F26-A26))</f>
        <v/>
      </c>
      <c r="H26" s="14" t="str">
        <f aca="true">IF(A26="","",IF(F26&lt;&gt;"","Received",IF(TODAY()-A26&gt;14,"Overdue","Awaiting")))</f>
        <v/>
      </c>
      <c r="I26" s="13"/>
      <c r="J26" s="13"/>
    </row>
    <row r="27" customFormat="false" ht="15" hidden="false" customHeight="false" outlineLevel="0" collapsed="false">
      <c r="A27" s="12"/>
      <c r="B27" s="13"/>
      <c r="C27" s="13"/>
      <c r="D27" s="13"/>
      <c r="E27" s="13"/>
      <c r="F27" s="12"/>
      <c r="G27" s="14" t="str">
        <f aca="true">IF(A27="","",IF(F27="",TODAY()-A27,F27-A27))</f>
        <v/>
      </c>
      <c r="H27" s="14" t="str">
        <f aca="true">IF(A27="","",IF(F27&lt;&gt;"","Received",IF(TODAY()-A27&gt;14,"Overdue","Awaiting")))</f>
        <v/>
      </c>
      <c r="I27" s="13"/>
      <c r="J27" s="13"/>
    </row>
    <row r="28" customFormat="false" ht="15" hidden="false" customHeight="false" outlineLevel="0" collapsed="false">
      <c r="A28" s="12"/>
      <c r="B28" s="13"/>
      <c r="C28" s="13"/>
      <c r="D28" s="13"/>
      <c r="E28" s="13"/>
      <c r="F28" s="12"/>
      <c r="G28" s="14" t="str">
        <f aca="true">IF(A28="","",IF(F28="",TODAY()-A28,F28-A28))</f>
        <v/>
      </c>
      <c r="H28" s="14" t="str">
        <f aca="true">IF(A28="","",IF(F28&lt;&gt;"","Received",IF(TODAY()-A28&gt;14,"Overdue","Awaiting")))</f>
        <v/>
      </c>
      <c r="I28" s="13"/>
      <c r="J28" s="13"/>
    </row>
    <row r="29" customFormat="false" ht="15" hidden="false" customHeight="false" outlineLevel="0" collapsed="false">
      <c r="A29" s="12"/>
      <c r="B29" s="13"/>
      <c r="C29" s="13"/>
      <c r="D29" s="13"/>
      <c r="E29" s="13"/>
      <c r="F29" s="12"/>
      <c r="G29" s="14" t="str">
        <f aca="true">IF(A29="","",IF(F29="",TODAY()-A29,F29-A29))</f>
        <v/>
      </c>
      <c r="H29" s="14" t="str">
        <f aca="true">IF(A29="","",IF(F29&lt;&gt;"","Received",IF(TODAY()-A29&gt;14,"Overdue","Awaiting")))</f>
        <v/>
      </c>
      <c r="I29" s="13"/>
      <c r="J29" s="13"/>
    </row>
    <row r="30" customFormat="false" ht="15" hidden="false" customHeight="false" outlineLevel="0" collapsed="false">
      <c r="A30" s="12"/>
      <c r="B30" s="13"/>
      <c r="C30" s="13"/>
      <c r="D30" s="13"/>
      <c r="E30" s="13"/>
      <c r="F30" s="12"/>
      <c r="G30" s="14" t="str">
        <f aca="true">IF(A30="","",IF(F30="",TODAY()-A30,F30-A30))</f>
        <v/>
      </c>
      <c r="H30" s="14" t="str">
        <f aca="true">IF(A30="","",IF(F30&lt;&gt;"","Received",IF(TODAY()-A30&gt;14,"Overdue","Awaiting")))</f>
        <v/>
      </c>
      <c r="I30" s="13"/>
      <c r="J30" s="13"/>
    </row>
    <row r="31" customFormat="false" ht="15" hidden="false" customHeight="false" outlineLevel="0" collapsed="false">
      <c r="A31" s="12"/>
      <c r="B31" s="13"/>
      <c r="C31" s="13"/>
      <c r="D31" s="13"/>
      <c r="E31" s="13"/>
      <c r="F31" s="12"/>
      <c r="G31" s="14" t="str">
        <f aca="true">IF(A31="","",IF(F31="",TODAY()-A31,F31-A31))</f>
        <v/>
      </c>
      <c r="H31" s="14" t="str">
        <f aca="true">IF(A31="","",IF(F31&lt;&gt;"","Received",IF(TODAY()-A31&gt;14,"Overdue","Awaiting")))</f>
        <v/>
      </c>
      <c r="I31" s="13"/>
      <c r="J31" s="13"/>
    </row>
    <row r="32" customFormat="false" ht="15" hidden="false" customHeight="false" outlineLevel="0" collapsed="false">
      <c r="A32" s="12"/>
      <c r="B32" s="13"/>
      <c r="C32" s="13"/>
      <c r="D32" s="13"/>
      <c r="E32" s="13"/>
      <c r="F32" s="12"/>
      <c r="G32" s="14" t="str">
        <f aca="true">IF(A32="","",IF(F32="",TODAY()-A32,F32-A32))</f>
        <v/>
      </c>
      <c r="H32" s="14" t="str">
        <f aca="true">IF(A32="","",IF(F32&lt;&gt;"","Received",IF(TODAY()-A32&gt;14,"Overdue","Awaiting")))</f>
        <v/>
      </c>
      <c r="I32" s="13"/>
      <c r="J32" s="13"/>
    </row>
    <row r="33" customFormat="false" ht="15" hidden="false" customHeight="false" outlineLevel="0" collapsed="false">
      <c r="A33" s="12"/>
      <c r="B33" s="13"/>
      <c r="C33" s="13"/>
      <c r="D33" s="13"/>
      <c r="E33" s="13"/>
      <c r="F33" s="12"/>
      <c r="G33" s="14" t="str">
        <f aca="true">IF(A33="","",IF(F33="",TODAY()-A33,F33-A33))</f>
        <v/>
      </c>
      <c r="H33" s="14" t="str">
        <f aca="true">IF(A33="","",IF(F33&lt;&gt;"","Received",IF(TODAY()-A33&gt;14,"Overdue","Awaiting")))</f>
        <v/>
      </c>
      <c r="I33" s="13"/>
      <c r="J33" s="13"/>
    </row>
    <row r="34" customFormat="false" ht="15" hidden="false" customHeight="false" outlineLevel="0" collapsed="false">
      <c r="A34" s="12"/>
      <c r="B34" s="13"/>
      <c r="C34" s="13"/>
      <c r="D34" s="13"/>
      <c r="E34" s="13"/>
      <c r="F34" s="12"/>
      <c r="G34" s="14" t="str">
        <f aca="true">IF(A34="","",IF(F34="",TODAY()-A34,F34-A34))</f>
        <v/>
      </c>
      <c r="H34" s="14" t="str">
        <f aca="true">IF(A34="","",IF(F34&lt;&gt;"","Received",IF(TODAY()-A34&gt;14,"Overdue","Awaiting")))</f>
        <v/>
      </c>
      <c r="I34" s="13"/>
      <c r="J34" s="13"/>
    </row>
    <row r="35" customFormat="false" ht="15" hidden="false" customHeight="false" outlineLevel="0" collapsed="false">
      <c r="A35" s="12"/>
      <c r="B35" s="13"/>
      <c r="C35" s="13"/>
      <c r="D35" s="13"/>
      <c r="E35" s="13"/>
      <c r="F35" s="12"/>
      <c r="G35" s="14" t="str">
        <f aca="true">IF(A35="","",IF(F35="",TODAY()-A35,F35-A35))</f>
        <v/>
      </c>
      <c r="H35" s="14" t="str">
        <f aca="true">IF(A35="","",IF(F35&lt;&gt;"","Received",IF(TODAY()-A35&gt;14,"Overdue","Awaiting")))</f>
        <v/>
      </c>
      <c r="I35" s="13"/>
      <c r="J35" s="13"/>
    </row>
    <row r="36" customFormat="false" ht="15" hidden="false" customHeight="false" outlineLevel="0" collapsed="false">
      <c r="A36" s="12"/>
      <c r="B36" s="13"/>
      <c r="C36" s="13"/>
      <c r="D36" s="13"/>
      <c r="E36" s="13"/>
      <c r="F36" s="12"/>
      <c r="G36" s="14" t="str">
        <f aca="true">IF(A36="","",IF(F36="",TODAY()-A36,F36-A36))</f>
        <v/>
      </c>
      <c r="H36" s="14" t="str">
        <f aca="true">IF(A36="","",IF(F36&lt;&gt;"","Received",IF(TODAY()-A36&gt;14,"Overdue","Awaiting")))</f>
        <v/>
      </c>
      <c r="I36" s="13"/>
      <c r="J36" s="13"/>
    </row>
    <row r="37" customFormat="false" ht="15" hidden="false" customHeight="false" outlineLevel="0" collapsed="false">
      <c r="A37" s="12"/>
      <c r="B37" s="13"/>
      <c r="C37" s="13"/>
      <c r="D37" s="13"/>
      <c r="E37" s="13"/>
      <c r="F37" s="12"/>
      <c r="G37" s="14" t="str">
        <f aca="true">IF(A37="","",IF(F37="",TODAY()-A37,F37-A37))</f>
        <v/>
      </c>
      <c r="H37" s="14" t="str">
        <f aca="true">IF(A37="","",IF(F37&lt;&gt;"","Received",IF(TODAY()-A37&gt;14,"Overdue","Awaiting")))</f>
        <v/>
      </c>
      <c r="I37" s="13"/>
      <c r="J37" s="13"/>
    </row>
    <row r="38" customFormat="false" ht="15" hidden="false" customHeight="false" outlineLevel="0" collapsed="false">
      <c r="A38" s="12"/>
      <c r="B38" s="13"/>
      <c r="C38" s="13"/>
      <c r="D38" s="13"/>
      <c r="E38" s="13"/>
      <c r="F38" s="12"/>
      <c r="G38" s="14" t="str">
        <f aca="true">IF(A38="","",IF(F38="",TODAY()-A38,F38-A38))</f>
        <v/>
      </c>
      <c r="H38" s="14" t="str">
        <f aca="true">IF(A38="","",IF(F38&lt;&gt;"","Received",IF(TODAY()-A38&gt;14,"Overdue","Awaiting")))</f>
        <v/>
      </c>
      <c r="I38" s="13"/>
      <c r="J38" s="13"/>
    </row>
    <row r="39" customFormat="false" ht="15" hidden="false" customHeight="false" outlineLevel="0" collapsed="false">
      <c r="A39" s="12"/>
      <c r="B39" s="13"/>
      <c r="C39" s="13"/>
      <c r="D39" s="13"/>
      <c r="E39" s="13"/>
      <c r="F39" s="12"/>
      <c r="G39" s="14" t="str">
        <f aca="true">IF(A39="","",IF(F39="",TODAY()-A39,F39-A39))</f>
        <v/>
      </c>
      <c r="H39" s="14" t="str">
        <f aca="true">IF(A39="","",IF(F39&lt;&gt;"","Received",IF(TODAY()-A39&gt;14,"Overdue","Awaiting")))</f>
        <v/>
      </c>
      <c r="I39" s="13"/>
      <c r="J39" s="13"/>
    </row>
    <row r="40" customFormat="false" ht="15" hidden="false" customHeight="false" outlineLevel="0" collapsed="false">
      <c r="A40" s="12"/>
      <c r="B40" s="13"/>
      <c r="C40" s="13"/>
      <c r="D40" s="13"/>
      <c r="E40" s="13"/>
      <c r="F40" s="12"/>
      <c r="G40" s="14" t="str">
        <f aca="true">IF(A40="","",IF(F40="",TODAY()-A40,F40-A40))</f>
        <v/>
      </c>
      <c r="H40" s="14" t="str">
        <f aca="true">IF(A40="","",IF(F40&lt;&gt;"","Received",IF(TODAY()-A40&gt;14,"Overdue","Awaiting")))</f>
        <v/>
      </c>
      <c r="I40" s="13"/>
      <c r="J40" s="13"/>
    </row>
    <row r="41" customFormat="false" ht="15" hidden="false" customHeight="false" outlineLevel="0" collapsed="false">
      <c r="A41" s="12"/>
      <c r="B41" s="13"/>
      <c r="C41" s="13"/>
      <c r="D41" s="13"/>
      <c r="E41" s="13"/>
      <c r="F41" s="12"/>
      <c r="G41" s="14" t="str">
        <f aca="true">IF(A41="","",IF(F41="",TODAY()-A41,F41-A41))</f>
        <v/>
      </c>
      <c r="H41" s="14" t="str">
        <f aca="true">IF(A41="","",IF(F41&lt;&gt;"","Received",IF(TODAY()-A41&gt;14,"Overdue","Awaiting")))</f>
        <v/>
      </c>
      <c r="I41" s="13"/>
      <c r="J41" s="13"/>
    </row>
    <row r="42" customFormat="false" ht="15" hidden="false" customHeight="false" outlineLevel="0" collapsed="false">
      <c r="A42" s="12"/>
      <c r="B42" s="13"/>
      <c r="C42" s="13"/>
      <c r="D42" s="13"/>
      <c r="E42" s="13"/>
      <c r="F42" s="12"/>
      <c r="G42" s="14" t="str">
        <f aca="true">IF(A42="","",IF(F42="",TODAY()-A42,F42-A42))</f>
        <v/>
      </c>
      <c r="H42" s="14" t="str">
        <f aca="true">IF(A42="","",IF(F42&lt;&gt;"","Received",IF(TODAY()-A42&gt;14,"Overdue","Awaiting")))</f>
        <v/>
      </c>
      <c r="I42" s="13"/>
      <c r="J42" s="13"/>
    </row>
    <row r="43" customFormat="false" ht="15" hidden="false" customHeight="false" outlineLevel="0" collapsed="false">
      <c r="A43" s="12"/>
      <c r="B43" s="13"/>
      <c r="C43" s="13"/>
      <c r="D43" s="13"/>
      <c r="E43" s="13"/>
      <c r="F43" s="12"/>
      <c r="G43" s="14" t="str">
        <f aca="true">IF(A43="","",IF(F43="",TODAY()-A43,F43-A43))</f>
        <v/>
      </c>
      <c r="H43" s="14" t="str">
        <f aca="true">IF(A43="","",IF(F43&lt;&gt;"","Received",IF(TODAY()-A43&gt;14,"Overdue","Awaiting")))</f>
        <v/>
      </c>
      <c r="I43" s="13"/>
      <c r="J43" s="13"/>
    </row>
    <row r="44" customFormat="false" ht="15" hidden="false" customHeight="false" outlineLevel="0" collapsed="false">
      <c r="A44" s="12"/>
      <c r="B44" s="13"/>
      <c r="C44" s="13"/>
      <c r="D44" s="13"/>
      <c r="E44" s="13"/>
      <c r="F44" s="12"/>
      <c r="G44" s="14" t="str">
        <f aca="true">IF(A44="","",IF(F44="",TODAY()-A44,F44-A44))</f>
        <v/>
      </c>
      <c r="H44" s="14" t="str">
        <f aca="true">IF(A44="","",IF(F44&lt;&gt;"","Received",IF(TODAY()-A44&gt;14,"Overdue","Awaiting")))</f>
        <v/>
      </c>
      <c r="I44" s="13"/>
      <c r="J44" s="13"/>
    </row>
    <row r="45" customFormat="false" ht="15" hidden="false" customHeight="false" outlineLevel="0" collapsed="false">
      <c r="A45" s="12"/>
      <c r="B45" s="13"/>
      <c r="C45" s="13"/>
      <c r="D45" s="13"/>
      <c r="E45" s="13"/>
      <c r="F45" s="12"/>
      <c r="G45" s="14" t="str">
        <f aca="true">IF(A45="","",IF(F45="",TODAY()-A45,F45-A45))</f>
        <v/>
      </c>
      <c r="H45" s="14" t="str">
        <f aca="true">IF(A45="","",IF(F45&lt;&gt;"","Received",IF(TODAY()-A45&gt;14,"Overdue","Awaiting")))</f>
        <v/>
      </c>
      <c r="I45" s="13"/>
      <c r="J45" s="13"/>
    </row>
    <row r="46" customFormat="false" ht="15" hidden="false" customHeight="false" outlineLevel="0" collapsed="false">
      <c r="A46" s="12"/>
      <c r="B46" s="13"/>
      <c r="C46" s="13"/>
      <c r="D46" s="13"/>
      <c r="E46" s="13"/>
      <c r="F46" s="12"/>
      <c r="G46" s="14" t="str">
        <f aca="true">IF(A46="","",IF(F46="",TODAY()-A46,F46-A46))</f>
        <v/>
      </c>
      <c r="H46" s="14" t="str">
        <f aca="true">IF(A46="","",IF(F46&lt;&gt;"","Received",IF(TODAY()-A46&gt;14,"Overdue","Awaiting")))</f>
        <v/>
      </c>
      <c r="I46" s="13"/>
      <c r="J46" s="13"/>
    </row>
    <row r="47" customFormat="false" ht="15" hidden="false" customHeight="false" outlineLevel="0" collapsed="false">
      <c r="A47" s="12"/>
      <c r="B47" s="13"/>
      <c r="C47" s="13"/>
      <c r="D47" s="13"/>
      <c r="E47" s="13"/>
      <c r="F47" s="12"/>
      <c r="G47" s="14" t="str">
        <f aca="true">IF(A47="","",IF(F47="",TODAY()-A47,F47-A47))</f>
        <v/>
      </c>
      <c r="H47" s="14" t="str">
        <f aca="true">IF(A47="","",IF(F47&lt;&gt;"","Received",IF(TODAY()-A47&gt;14,"Overdue","Awaiting")))</f>
        <v/>
      </c>
      <c r="I47" s="13"/>
      <c r="J47" s="13"/>
    </row>
    <row r="48" customFormat="false" ht="15" hidden="false" customHeight="false" outlineLevel="0" collapsed="false">
      <c r="A48" s="12"/>
      <c r="B48" s="13"/>
      <c r="C48" s="13"/>
      <c r="D48" s="13"/>
      <c r="E48" s="13"/>
      <c r="F48" s="12"/>
      <c r="G48" s="14" t="str">
        <f aca="true">IF(A48="","",IF(F48="",TODAY()-A48,F48-A48))</f>
        <v/>
      </c>
      <c r="H48" s="14" t="str">
        <f aca="true">IF(A48="","",IF(F48&lt;&gt;"","Received",IF(TODAY()-A48&gt;14,"Overdue","Awaiting")))</f>
        <v/>
      </c>
      <c r="I48" s="13"/>
      <c r="J48" s="13"/>
    </row>
    <row r="49" customFormat="false" ht="15" hidden="false" customHeight="false" outlineLevel="0" collapsed="false">
      <c r="A49" s="12"/>
      <c r="B49" s="13"/>
      <c r="C49" s="13"/>
      <c r="D49" s="13"/>
      <c r="E49" s="13"/>
      <c r="F49" s="12"/>
      <c r="G49" s="14" t="str">
        <f aca="true">IF(A49="","",IF(F49="",TODAY()-A49,F49-A49))</f>
        <v/>
      </c>
      <c r="H49" s="14" t="str">
        <f aca="true">IF(A49="","",IF(F49&lt;&gt;"","Received",IF(TODAY()-A49&gt;14,"Overdue","Awaiting")))</f>
        <v/>
      </c>
      <c r="I49" s="13"/>
      <c r="J49" s="13"/>
    </row>
    <row r="50" customFormat="false" ht="15" hidden="false" customHeight="false" outlineLevel="0" collapsed="false">
      <c r="A50" s="12"/>
      <c r="B50" s="13"/>
      <c r="C50" s="13"/>
      <c r="D50" s="13"/>
      <c r="E50" s="13"/>
      <c r="F50" s="12"/>
      <c r="G50" s="14" t="str">
        <f aca="true">IF(A50="","",IF(F50="",TODAY()-A50,F50-A50))</f>
        <v/>
      </c>
      <c r="H50" s="14" t="str">
        <f aca="true">IF(A50="","",IF(F50&lt;&gt;"","Received",IF(TODAY()-A50&gt;14,"Overdue","Awaiting")))</f>
        <v/>
      </c>
      <c r="I50" s="13"/>
      <c r="J50" s="13"/>
    </row>
    <row r="51" customFormat="false" ht="15" hidden="false" customHeight="false" outlineLevel="0" collapsed="false">
      <c r="A51" s="12"/>
      <c r="B51" s="13"/>
      <c r="C51" s="13"/>
      <c r="D51" s="13"/>
      <c r="E51" s="13"/>
      <c r="F51" s="12"/>
      <c r="G51" s="14" t="str">
        <f aca="true">IF(A51="","",IF(F51="",TODAY()-A51,F51-A51))</f>
        <v/>
      </c>
      <c r="H51" s="14" t="str">
        <f aca="true">IF(A51="","",IF(F51&lt;&gt;"","Received",IF(TODAY()-A51&gt;14,"Overdue","Awaiting")))</f>
        <v/>
      </c>
      <c r="I51" s="13"/>
      <c r="J51" s="13"/>
    </row>
    <row r="52" customFormat="false" ht="15" hidden="false" customHeight="false" outlineLevel="0" collapsed="false">
      <c r="A52" s="12"/>
      <c r="B52" s="13"/>
      <c r="C52" s="13"/>
      <c r="D52" s="13"/>
      <c r="E52" s="13"/>
      <c r="F52" s="12"/>
      <c r="G52" s="14" t="str">
        <f aca="true">IF(A52="","",IF(F52="",TODAY()-A52,F52-A52))</f>
        <v/>
      </c>
      <c r="H52" s="14" t="str">
        <f aca="true">IF(A52="","",IF(F52&lt;&gt;"","Received",IF(TODAY()-A52&gt;14,"Overdue","Awaiting")))</f>
        <v/>
      </c>
      <c r="I52" s="13"/>
      <c r="J52" s="13"/>
    </row>
    <row r="53" customFormat="false" ht="15" hidden="false" customHeight="false" outlineLevel="0" collapsed="false">
      <c r="A53" s="12"/>
      <c r="B53" s="13"/>
      <c r="C53" s="13"/>
      <c r="D53" s="13"/>
      <c r="E53" s="13"/>
      <c r="F53" s="12"/>
      <c r="G53" s="14" t="str">
        <f aca="true">IF(A53="","",IF(F53="",TODAY()-A53,F53-A53))</f>
        <v/>
      </c>
      <c r="H53" s="14" t="str">
        <f aca="true">IF(A53="","",IF(F53&lt;&gt;"","Received",IF(TODAY()-A53&gt;14,"Overdue","Awaiting")))</f>
        <v/>
      </c>
      <c r="I53" s="13"/>
      <c r="J53" s="13"/>
    </row>
    <row r="54" customFormat="false" ht="15" hidden="false" customHeight="false" outlineLevel="0" collapsed="false">
      <c r="A54" s="12"/>
      <c r="B54" s="13"/>
      <c r="C54" s="13"/>
      <c r="D54" s="13"/>
      <c r="E54" s="13"/>
      <c r="F54" s="12"/>
      <c r="G54" s="14" t="str">
        <f aca="true">IF(A54="","",IF(F54="",TODAY()-A54,F54-A54))</f>
        <v/>
      </c>
      <c r="H54" s="14" t="str">
        <f aca="true">IF(A54="","",IF(F54&lt;&gt;"","Received",IF(TODAY()-A54&gt;14,"Overdue","Awaiting")))</f>
        <v/>
      </c>
      <c r="I54" s="13"/>
      <c r="J54" s="13"/>
    </row>
    <row r="55" customFormat="false" ht="15" hidden="false" customHeight="false" outlineLevel="0" collapsed="false">
      <c r="A55" s="12"/>
      <c r="B55" s="13"/>
      <c r="C55" s="13"/>
      <c r="D55" s="13"/>
      <c r="E55" s="13"/>
      <c r="F55" s="12"/>
      <c r="G55" s="14" t="str">
        <f aca="true">IF(A55="","",IF(F55="",TODAY()-A55,F55-A55))</f>
        <v/>
      </c>
      <c r="H55" s="14" t="str">
        <f aca="true">IF(A55="","",IF(F55&lt;&gt;"","Received",IF(TODAY()-A55&gt;14,"Overdue","Awaiting")))</f>
        <v/>
      </c>
      <c r="I55" s="13"/>
      <c r="J55" s="13"/>
    </row>
    <row r="56" customFormat="false" ht="15" hidden="false" customHeight="false" outlineLevel="0" collapsed="false">
      <c r="A56" s="12"/>
      <c r="B56" s="13"/>
      <c r="C56" s="13"/>
      <c r="D56" s="13"/>
      <c r="E56" s="13"/>
      <c r="F56" s="12"/>
      <c r="G56" s="14" t="str">
        <f aca="true">IF(A56="","",IF(F56="",TODAY()-A56,F56-A56))</f>
        <v/>
      </c>
      <c r="H56" s="14" t="str">
        <f aca="true">IF(A56="","",IF(F56&lt;&gt;"","Received",IF(TODAY()-A56&gt;14,"Overdue","Awaiting")))</f>
        <v/>
      </c>
      <c r="I56" s="13"/>
      <c r="J56" s="13"/>
    </row>
    <row r="57" customFormat="false" ht="15" hidden="false" customHeight="false" outlineLevel="0" collapsed="false">
      <c r="A57" s="12"/>
      <c r="B57" s="13"/>
      <c r="C57" s="13"/>
      <c r="D57" s="13"/>
      <c r="E57" s="13"/>
      <c r="F57" s="12"/>
      <c r="G57" s="14" t="str">
        <f aca="true">IF(A57="","",IF(F57="",TODAY()-A57,F57-A57))</f>
        <v/>
      </c>
      <c r="H57" s="14" t="str">
        <f aca="true">IF(A57="","",IF(F57&lt;&gt;"","Received",IF(TODAY()-A57&gt;14,"Overdue","Awaiting")))</f>
        <v/>
      </c>
      <c r="I57" s="13"/>
      <c r="J57" s="13"/>
    </row>
    <row r="58" customFormat="false" ht="15" hidden="false" customHeight="false" outlineLevel="0" collapsed="false">
      <c r="A58" s="12"/>
      <c r="B58" s="13"/>
      <c r="C58" s="13"/>
      <c r="D58" s="13"/>
      <c r="E58" s="13"/>
      <c r="F58" s="12"/>
      <c r="G58" s="14" t="str">
        <f aca="true">IF(A58="","",IF(F58="",TODAY()-A58,F58-A58))</f>
        <v/>
      </c>
      <c r="H58" s="14" t="str">
        <f aca="true">IF(A58="","",IF(F58&lt;&gt;"","Received",IF(TODAY()-A58&gt;14,"Overdue","Awaiting")))</f>
        <v/>
      </c>
      <c r="I58" s="13"/>
      <c r="J58" s="13"/>
    </row>
    <row r="59" customFormat="false" ht="15" hidden="false" customHeight="false" outlineLevel="0" collapsed="false">
      <c r="A59" s="12"/>
      <c r="B59" s="13"/>
      <c r="C59" s="13"/>
      <c r="D59" s="13"/>
      <c r="E59" s="13"/>
      <c r="F59" s="12"/>
      <c r="G59" s="14" t="str">
        <f aca="true">IF(A59="","",IF(F59="",TODAY()-A59,F59-A59))</f>
        <v/>
      </c>
      <c r="H59" s="14" t="str">
        <f aca="true">IF(A59="","",IF(F59&lt;&gt;"","Received",IF(TODAY()-A59&gt;14,"Overdue","Awaiting")))</f>
        <v/>
      </c>
      <c r="I59" s="13"/>
      <c r="J59" s="13"/>
    </row>
    <row r="60" customFormat="false" ht="15" hidden="false" customHeight="false" outlineLevel="0" collapsed="false">
      <c r="A60" s="12"/>
      <c r="B60" s="13"/>
      <c r="C60" s="13"/>
      <c r="D60" s="13"/>
      <c r="E60" s="13"/>
      <c r="F60" s="12"/>
      <c r="G60" s="14" t="str">
        <f aca="true">IF(A60="","",IF(F60="",TODAY()-A60,F60-A60))</f>
        <v/>
      </c>
      <c r="H60" s="14" t="str">
        <f aca="true">IF(A60="","",IF(F60&lt;&gt;"","Received",IF(TODAY()-A60&gt;14,"Overdue","Awaiting")))</f>
        <v/>
      </c>
      <c r="I60" s="13"/>
      <c r="J60" s="13"/>
    </row>
    <row r="61" customFormat="false" ht="15" hidden="false" customHeight="false" outlineLevel="0" collapsed="false">
      <c r="A61" s="12"/>
      <c r="B61" s="13"/>
      <c r="C61" s="13"/>
      <c r="D61" s="13"/>
      <c r="E61" s="13"/>
      <c r="F61" s="12"/>
      <c r="G61" s="14" t="str">
        <f aca="true">IF(A61="","",IF(F61="",TODAY()-A61,F61-A61))</f>
        <v/>
      </c>
      <c r="H61" s="14" t="str">
        <f aca="true">IF(A61="","",IF(F61&lt;&gt;"","Received",IF(TODAY()-A61&gt;14,"Overdue","Awaiting")))</f>
        <v/>
      </c>
      <c r="I61" s="13"/>
      <c r="J61" s="13"/>
    </row>
    <row r="62" customFormat="false" ht="15" hidden="false" customHeight="false" outlineLevel="0" collapsed="false">
      <c r="A62" s="12"/>
      <c r="B62" s="13"/>
      <c r="C62" s="13"/>
      <c r="D62" s="13"/>
      <c r="E62" s="13"/>
      <c r="F62" s="12"/>
      <c r="G62" s="14" t="str">
        <f aca="true">IF(A62="","",IF(F62="",TODAY()-A62,F62-A62))</f>
        <v/>
      </c>
      <c r="H62" s="14" t="str">
        <f aca="true">IF(A62="","",IF(F62&lt;&gt;"","Received",IF(TODAY()-A62&gt;14,"Overdue","Awaiting")))</f>
        <v/>
      </c>
      <c r="I62" s="13"/>
      <c r="J62" s="13"/>
    </row>
    <row r="63" customFormat="false" ht="15" hidden="false" customHeight="false" outlineLevel="0" collapsed="false">
      <c r="A63" s="12"/>
      <c r="B63" s="13"/>
      <c r="C63" s="13"/>
      <c r="D63" s="13"/>
      <c r="E63" s="13"/>
      <c r="F63" s="12"/>
      <c r="G63" s="14" t="str">
        <f aca="true">IF(A63="","",IF(F63="",TODAY()-A63,F63-A63))</f>
        <v/>
      </c>
      <c r="H63" s="14" t="str">
        <f aca="true">IF(A63="","",IF(F63&lt;&gt;"","Received",IF(TODAY()-A63&gt;14,"Overdue","Awaiting")))</f>
        <v/>
      </c>
      <c r="I63" s="13"/>
      <c r="J63" s="13"/>
    </row>
    <row r="64" customFormat="false" ht="15" hidden="false" customHeight="false" outlineLevel="0" collapsed="false">
      <c r="A64" s="12"/>
      <c r="B64" s="13"/>
      <c r="C64" s="13"/>
      <c r="D64" s="13"/>
      <c r="E64" s="13"/>
      <c r="F64" s="12"/>
      <c r="G64" s="14" t="str">
        <f aca="true">IF(A64="","",IF(F64="",TODAY()-A64,F64-A64))</f>
        <v/>
      </c>
      <c r="H64" s="14" t="str">
        <f aca="true">IF(A64="","",IF(F64&lt;&gt;"","Received",IF(TODAY()-A64&gt;14,"Overdue","Awaiting")))</f>
        <v/>
      </c>
      <c r="I64" s="13"/>
      <c r="J64" s="13"/>
    </row>
  </sheetData>
  <mergeCells count="2">
    <mergeCell ref="A1:J1"/>
    <mergeCell ref="A2:J2"/>
  </mergeCells>
  <conditionalFormatting sqref="A5:J64">
    <cfRule type="expression" priority="2" aboveAverage="0" equalAverage="0" bottom="0" percent="0" rank="0" text="" dxfId="0">
      <formula>$H5="Overdue"</formula>
    </cfRule>
    <cfRule type="expression" priority="3" aboveAverage="0" equalAverage="0" bottom="0" percent="0" rank="0" text="" dxfId="0">
      <formula>AND($H5="Received",$I5&lt;&gt;"Yes")</formula>
    </cfRule>
    <cfRule type="expression" priority="4" aboveAverage="0" equalAverage="0" bottom="0" percent="0" rank="0" text="" dxfId="1">
      <formula>AND($H5="Received",$I5="Yes")</formula>
    </cfRule>
  </conditionalFormatting>
  <dataValidations count="2">
    <dataValidation allowBlank="true" errorStyle="stop" operator="between" showDropDown="false" showErrorMessage="false" showInputMessage="false" sqref="D5:D64" type="list">
      <formula1>"Blood Test,MRI,CT,X-ray,USS,Biopsy,PET CT,DEXA,ECG,Other"</formula1>
      <formula2>0</formula2>
    </dataValidation>
    <dataValidation allowBlank="true" errorStyle="stop" operator="between" showDropDown="false" showErrorMessage="false" showInputMessage="false" sqref="I5:I64" type="list">
      <formula1>"No,Yes"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0"/>
  </cols>
  <sheetData>
    <row r="1" customFormat="false" ht="24" hidden="false" customHeight="true" outlineLevel="0" collapsed="false">
      <c r="A1" s="10" t="s">
        <v>28</v>
      </c>
      <c r="B1" s="10"/>
    </row>
    <row r="2" customFormat="false" ht="15.75" hidden="false" customHeight="true" outlineLevel="0" collapsed="false">
      <c r="A2" s="9" t="s">
        <v>29</v>
      </c>
      <c r="B2" s="9"/>
    </row>
    <row r="4" customFormat="false" ht="15" hidden="false" customHeight="false" outlineLevel="0" collapsed="false">
      <c r="A4" s="1" t="s">
        <v>25</v>
      </c>
    </row>
    <row r="5" customFormat="false" ht="15" hidden="false" customHeight="false" outlineLevel="0" collapsed="false">
      <c r="A5" s="15" t="s">
        <v>30</v>
      </c>
      <c r="B5" s="16" t="n">
        <f aca="false">COUNTA('Results Tracker'!A5:A64)</f>
        <v>0</v>
      </c>
    </row>
    <row r="6" customFormat="false" ht="15" hidden="false" customHeight="false" outlineLevel="0" collapsed="false">
      <c r="A6" s="15" t="s">
        <v>31</v>
      </c>
      <c r="B6" s="16" t="n">
        <f aca="false">COUNTIF('Results Tracker'!H5:H64,"Awaiting")</f>
        <v>0</v>
      </c>
    </row>
    <row r="7" customFormat="false" ht="15" hidden="false" customHeight="false" outlineLevel="0" collapsed="false">
      <c r="A7" s="15" t="s">
        <v>32</v>
      </c>
      <c r="B7" s="16" t="n">
        <f aca="false">COUNTIF('Results Tracker'!H5:H64,"Overdue")</f>
        <v>0</v>
      </c>
    </row>
    <row r="8" customFormat="false" ht="15" hidden="false" customHeight="false" outlineLevel="0" collapsed="false">
      <c r="A8" s="15" t="s">
        <v>33</v>
      </c>
      <c r="B8" s="16" t="n">
        <f aca="false">COUNTIF('Results Tracker'!H5:H64,"Received")</f>
        <v>0</v>
      </c>
    </row>
    <row r="9" customFormat="false" ht="15" hidden="false" customHeight="false" outlineLevel="0" collapsed="false">
      <c r="A9" s="15" t="s">
        <v>34</v>
      </c>
      <c r="B9" s="16" t="n">
        <f aca="false">COUNTIFS('Results Tracker'!H5:H64,"Received",'Results Tracker'!I5:I64,"&lt;&gt;Yes")</f>
        <v>0</v>
      </c>
    </row>
    <row r="10" customFormat="false" ht="15" hidden="false" customHeight="false" outlineLevel="0" collapsed="false">
      <c r="A10" s="15" t="s">
        <v>35</v>
      </c>
      <c r="B10" s="16" t="n">
        <f aca="false">COUNTIFS('Results Tracker'!H5:H64,"Received",'Results Tracker'!I5:I64,"Yes")</f>
        <v>0</v>
      </c>
    </row>
    <row r="11" customFormat="false" ht="15" hidden="false" customHeight="false" outlineLevel="0" collapsed="false">
      <c r="A11" s="15" t="s">
        <v>36</v>
      </c>
      <c r="B11" s="16" t="str">
        <f aca="false">IFERROR(AVERAGEIF('Results Tracker'!H5:H64,"Received",'Results Tracker'!G5:G64),"")</f>
        <v/>
      </c>
    </row>
    <row r="13" customFormat="false" ht="15" hidden="false" customHeight="false" outlineLevel="0" collapsed="false">
      <c r="A13" s="1" t="s">
        <v>37</v>
      </c>
    </row>
    <row r="14" customFormat="false" ht="15" hidden="false" customHeight="false" outlineLevel="0" collapsed="false">
      <c r="A14" s="17" t="s">
        <v>21</v>
      </c>
      <c r="B14" s="17" t="s">
        <v>38</v>
      </c>
      <c r="C14" s="17" t="s">
        <v>39</v>
      </c>
    </row>
    <row r="15" customFormat="false" ht="15" hidden="false" customHeight="false" outlineLevel="0" collapsed="false">
      <c r="A15" s="18" t="s">
        <v>40</v>
      </c>
      <c r="B15" s="18" t="n">
        <f aca="false">COUNTIF('Results Tracker'!D5:D64,"Blood Test")</f>
        <v>0</v>
      </c>
      <c r="C15" s="18" t="n">
        <f aca="false">COUNTIFS('Results Tracker'!D5:D64,"Blood Test",'Results Tracker'!H5:H64,"Overdue")</f>
        <v>0</v>
      </c>
    </row>
    <row r="16" customFormat="false" ht="15" hidden="false" customHeight="false" outlineLevel="0" collapsed="false">
      <c r="A16" s="18" t="s">
        <v>41</v>
      </c>
      <c r="B16" s="18" t="n">
        <f aca="false">COUNTIF('Results Tracker'!D5:D64,"MRI")</f>
        <v>0</v>
      </c>
      <c r="C16" s="18" t="n">
        <f aca="false">COUNTIFS('Results Tracker'!D5:D64,"MRI",'Results Tracker'!H5:H64,"Overdue")</f>
        <v>0</v>
      </c>
    </row>
    <row r="17" customFormat="false" ht="15" hidden="false" customHeight="false" outlineLevel="0" collapsed="false">
      <c r="A17" s="18" t="s">
        <v>42</v>
      </c>
      <c r="B17" s="18" t="n">
        <f aca="false">COUNTIF('Results Tracker'!D5:D64,"CT")</f>
        <v>0</v>
      </c>
      <c r="C17" s="18" t="n">
        <f aca="false">COUNTIFS('Results Tracker'!D5:D64,"CT",'Results Tracker'!H5:H64,"Overdue")</f>
        <v>0</v>
      </c>
    </row>
    <row r="18" customFormat="false" ht="15" hidden="false" customHeight="false" outlineLevel="0" collapsed="false">
      <c r="A18" s="18" t="s">
        <v>43</v>
      </c>
      <c r="B18" s="18" t="n">
        <f aca="false">COUNTIF('Results Tracker'!D5:D64,"X-ray")</f>
        <v>0</v>
      </c>
      <c r="C18" s="18" t="n">
        <f aca="false">COUNTIFS('Results Tracker'!D5:D64,"X-ray",'Results Tracker'!H5:H64,"Overdue")</f>
        <v>0</v>
      </c>
    </row>
    <row r="19" customFormat="false" ht="15" hidden="false" customHeight="false" outlineLevel="0" collapsed="false">
      <c r="A19" s="18" t="s">
        <v>44</v>
      </c>
      <c r="B19" s="18" t="n">
        <f aca="false">COUNTIF('Results Tracker'!D5:D64,"USS")</f>
        <v>0</v>
      </c>
      <c r="C19" s="18" t="n">
        <f aca="false">COUNTIFS('Results Tracker'!D5:D64,"USS",'Results Tracker'!H5:H64,"Overdue")</f>
        <v>0</v>
      </c>
    </row>
    <row r="20" customFormat="false" ht="15" hidden="false" customHeight="false" outlineLevel="0" collapsed="false">
      <c r="A20" s="18" t="s">
        <v>45</v>
      </c>
      <c r="B20" s="18" t="n">
        <f aca="false">COUNTIF('Results Tracker'!D5:D64,"Biopsy")</f>
        <v>0</v>
      </c>
      <c r="C20" s="18" t="n">
        <f aca="false">COUNTIFS('Results Tracker'!D5:D64,"Biopsy",'Results Tracker'!H5:H64,"Overdue")</f>
        <v>0</v>
      </c>
    </row>
    <row r="21" customFormat="false" ht="15" hidden="false" customHeight="false" outlineLevel="0" collapsed="false">
      <c r="A21" s="18" t="s">
        <v>46</v>
      </c>
      <c r="B21" s="18" t="n">
        <f aca="false">COUNTIF('Results Tracker'!D5:D64,"PET CT")</f>
        <v>0</v>
      </c>
      <c r="C21" s="18" t="n">
        <f aca="false">COUNTIFS('Results Tracker'!D5:D64,"PET CT",'Results Tracker'!H5:H64,"Overdue")</f>
        <v>0</v>
      </c>
    </row>
    <row r="22" customFormat="false" ht="15" hidden="false" customHeight="false" outlineLevel="0" collapsed="false">
      <c r="A22" s="18" t="s">
        <v>47</v>
      </c>
      <c r="B22" s="18" t="n">
        <f aca="false">COUNTIF('Results Tracker'!D5:D64,"DEXA")</f>
        <v>0</v>
      </c>
      <c r="C22" s="18" t="n">
        <f aca="false">COUNTIFS('Results Tracker'!D5:D64,"DEXA",'Results Tracker'!H5:H64,"Overdue")</f>
        <v>0</v>
      </c>
    </row>
    <row r="23" customFormat="false" ht="15" hidden="false" customHeight="false" outlineLevel="0" collapsed="false">
      <c r="A23" s="18" t="s">
        <v>48</v>
      </c>
      <c r="B23" s="18" t="n">
        <f aca="false">COUNTIF('Results Tracker'!D5:D64,"ECG")</f>
        <v>0</v>
      </c>
      <c r="C23" s="18" t="n">
        <f aca="false">COUNTIFS('Results Tracker'!D5:D64,"ECG",'Results Tracker'!H5:H64,"Overdue")</f>
        <v>0</v>
      </c>
    </row>
    <row r="24" customFormat="false" ht="15" hidden="false" customHeight="false" outlineLevel="0" collapsed="false">
      <c r="A24" s="18" t="s">
        <v>49</v>
      </c>
      <c r="B24" s="18" t="n">
        <f aca="false">COUNTIF('Results Tracker'!D5:D64,"Other")</f>
        <v>0</v>
      </c>
      <c r="C24" s="18" t="n">
        <f aca="false">COUNTIFS('Results Tracker'!D5:D64,"Other",'Results Tracker'!H5:H64,"Overdue")</f>
        <v>0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2026-07-09T08:12:55Z</dcterms:created>
  <dc:creator>openpyxl</dc:creator>
  <dc:description/>
  <dc:language>en-US</dc:language>
  <cp:lastModifiedBy/>
  <dcterms:modified xsi:type="dcterms:W3CDTF">2026-07-09T08:12:55Z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